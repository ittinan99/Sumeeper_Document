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Weights" sheetId="2" state="visible" r:id="rId2"/>
    <sheet name="Equipment" sheetId="3" state="visible" r:id="rId3"/>
    <sheet name="Equipment_Common" sheetId="4" state="visible" r:id="rId4"/>
    <sheet name="Equipment_Rare" sheetId="5" state="visible" r:id="rId5"/>
    <sheet name="Equipment_Epic" sheetId="6" state="visible" r:id="rId6"/>
    <sheet name="Equipment_Legend" sheetId="7" state="visible" r:id="rId7"/>
    <sheet name="Equipment_Mythic" sheetId="8" state="visible" r:id="rId8"/>
    <sheet name="Ability" sheetId="9" state="visible" r:id="rId9"/>
    <sheet name="Forge Scal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1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rgb="FF000000"/>
      <sz val="10"/>
    </font>
    <font>
      <name val="FreeSans"/>
      <color theme="1"/>
      <sz val="11"/>
    </font>
    <font>
      <name val="Arial"/>
      <color rgb="FF0000FF"/>
      <sz val="10"/>
    </font>
    <font>
      <name val="Calibri"/>
      <color theme="1"/>
      <scheme val="minor"/>
    </font>
    <font>
      <name val="Arial"/>
      <i val="1"/>
      <color rgb="FF000000"/>
      <sz val="10"/>
    </font>
    <font>
      <name val="Arial"/>
      <b val="1"/>
      <color rgb="FFFFFFFF"/>
      <sz val="10"/>
    </font>
    <font>
      <name val="Calibri"/>
      <i val="1"/>
      <color theme="1"/>
      <scheme val="minor"/>
    </font>
    <font>
      <name val="Arial"/>
      <b val="1"/>
      <color rgb="FF9C5700"/>
      <sz val="10"/>
    </font>
    <font>
      <name val="Arial"/>
      <i val="1"/>
      <color theme="1"/>
      <sz val="9"/>
    </font>
  </fonts>
  <fills count="6">
    <fill>
      <patternFill/>
    </fill>
    <fill>
      <patternFill patternType="lightGray"/>
    </fill>
    <fill>
      <patternFill patternType="solid">
        <fgColor rgb="FFFFF7E6"/>
        <bgColor rgb="FFFFF7E6"/>
      </patternFill>
    </fill>
    <fill>
      <patternFill patternType="solid">
        <fgColor rgb="FFE8E8E8"/>
        <bgColor rgb="FFE8E8E8"/>
      </patternFill>
    </fill>
    <fill>
      <patternFill patternType="solid">
        <fgColor rgb="FFC8552D"/>
        <bgColor rgb="FFC8552D"/>
      </patternFill>
    </fill>
    <fill>
      <patternFill patternType="solid">
        <fgColor rgb="FFFFE699"/>
        <bgColor rgb="FFFFE699"/>
      </patternFill>
    </fill>
  </fills>
  <borders count="4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2" borderId="1" applyAlignment="1" pivotButton="0" quotePrefix="0" xfId="0">
      <alignment vertical="bottom"/>
    </xf>
    <xf numFmtId="0" fontId="7" fillId="0" borderId="0" pivotButton="0" quotePrefix="0" xfId="0"/>
    <xf numFmtId="0" fontId="6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4" fontId="4" fillId="0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center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 wrapText="1"/>
    </xf>
    <xf numFmtId="2" fontId="4" fillId="3" borderId="2" applyAlignment="1" pivotButton="0" quotePrefix="0" xfId="0">
      <alignment vertical="center" wrapText="1"/>
    </xf>
    <xf numFmtId="4" fontId="4" fillId="3" borderId="2" applyAlignment="1" pivotButton="0" quotePrefix="0" xfId="0">
      <alignment vertical="center" wrapText="1"/>
    </xf>
    <xf numFmtId="0" fontId="9" fillId="4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0" fontId="10" fillId="0" borderId="0" pivotButton="0" quotePrefix="0" xfId="0"/>
    <xf numFmtId="0" fontId="6" fillId="0" borderId="2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bottom"/>
    </xf>
    <xf numFmtId="2" fontId="4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 defaultTableStyle="TableStyleMedium9" defaultPivotStyle="PivotStyleLight16">
    <tableStyle name="Equipmen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Common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Rar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Epi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Legend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quipment_Mythi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None</author>
  </authors>
  <commentList>
    <comment ref="A16" authorId="0" shapeId="0">
      <text>
        <t>เดิมชื่อ On-Action</t>
      </text>
    </comment>
    <comment ref="B18" authorId="0" shapeId="0">
      <text>
        <t>tune ไว้บน 1 attack=1 On-Hit; ระบบใหม่มีหลาย action ต่อ speed-fill -&gt; re-tune จาก playtest</t>
      </text>
    </comment>
    <comment ref="B45" authorId="0" shapeId="0">
      <text>
        <t>เดิมชื่อ Action Gauge Cost; ระบบใหม่ Charge สูง = Special เร็ว (contribute บวกใน CP)</t>
      </text>
    </comment>
    <comment ref="A48" authorId="0" shapeId="0">
      <text>
        <t>ไม่ถูกใช้แล้ว — Equipment ไม่มี HP stat</t>
      </text>
    </comment>
  </commentList>
</comments>
</file>

<file path=xl/tables/table1.xml><?xml version="1.0" encoding="utf-8"?>
<table xmlns="http://schemas.openxmlformats.org/spreadsheetml/2006/main" id="1" name="Base" displayName="Base" ref="A1:N23" headerRowCount="1">
  <autoFilter ref="$A$1:$N$23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-style" showFirstColumn="1" showLastColumn="1" showRowStripes="1" showColumnStripes="0"/>
</table>
</file>

<file path=xl/tables/table2.xml><?xml version="1.0" encoding="utf-8"?>
<table xmlns="http://schemas.openxmlformats.org/spreadsheetml/2006/main" id="2" name="Base_2" displayName="Base_2" ref="A1:N5" headerRowCount="1">
  <autoFilter ref="$A$1:$N$5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Common-style" showFirstColumn="1" showLastColumn="1" showRowStripes="1" showColumnStripes="0"/>
</table>
</file>

<file path=xl/tables/table3.xml><?xml version="1.0" encoding="utf-8"?>
<table xmlns="http://schemas.openxmlformats.org/spreadsheetml/2006/main" id="3" name="Base_3" displayName="Base_3" ref="A1:N9" headerRowCount="1">
  <autoFilter ref="$A$1:$N$9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Rare-style" showFirstColumn="1" showLastColumn="1" showRowStripes="1" showColumnStripes="0"/>
</table>
</file>

<file path=xl/tables/table4.xml><?xml version="1.0" encoding="utf-8"?>
<table xmlns="http://schemas.openxmlformats.org/spreadsheetml/2006/main" id="4" name="Base_4" displayName="Base_4" ref="A1:N13" headerRowCount="1">
  <autoFilter ref="$A$1:$N$13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Epic-style" showFirstColumn="1" showLastColumn="1" showRowStripes="1" showColumnStripes="0"/>
</table>
</file>

<file path=xl/tables/table5.xml><?xml version="1.0" encoding="utf-8"?>
<table xmlns="http://schemas.openxmlformats.org/spreadsheetml/2006/main" id="5" name="Base_5" displayName="Base_5" ref="A1:N18" headerRowCount="1">
  <autoFilter ref="$A$1:$N$18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Legend-style" showFirstColumn="1" showLastColumn="1" showRowStripes="1" showColumnStripes="0"/>
</table>
</file>

<file path=xl/tables/table6.xml><?xml version="1.0" encoding="utf-8"?>
<table xmlns="http://schemas.openxmlformats.org/spreadsheetml/2006/main" id="6" name="Base_6" displayName="Base_6" ref="A1:N23" headerRowCount="1">
  <autoFilter ref="$A$1:$N$23"/>
  <tableColumns count="14">
    <tableColumn id="1" name="ID"/>
    <tableColumn id="2" name="Weapon"/>
    <tableColumn id="3" name="Rarity"/>
    <tableColumn id="4" name="Set"/>
    <tableColumn id="5" name="ATK"/>
    <tableColumn id="6" name="DEF"/>
    <tableColumn id="7" name="SPD"/>
    <tableColumn id="8" name="Charge"/>
    <tableColumn id="9" name="Sum"/>
    <tableColumn id="10" name="Effect"/>
    <tableColumn id="11" name="Ability Value"/>
    <tableColumn id="12" name="Combat Power"/>
    <tableColumn id="13" name="Should Be CP"/>
    <tableColumn id="14" name="Delta"/>
  </tableColumns>
  <tableStyleInfo name="Equipment_Mythic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ColWidth="14.43" defaultRowHeight="15" customHeight="1"/>
  <cols>
    <col width="110" customWidth="1" style="50" min="1" max="1"/>
    <col width="8.710000000000001" customWidth="1" style="50" min="2" max="26"/>
  </cols>
  <sheetData>
    <row r="1">
      <c r="A1" s="2" t="inlineStr">
        <is>
          <t>SUMEEPER EQUIPMENT SHEET — Design B (Long / Multi-Ability)</t>
        </is>
      </c>
    </row>
    <row r="3">
      <c r="A3" s="5" t="inlineStr">
        <is>
          <t>โครงสร้างใหม่รองรับ Combat Rework (Weapon-based Action Sequence) และอาวุธ 1 ชิ้นมีได้หลาย ability</t>
        </is>
      </c>
    </row>
    <row r="5">
      <c r="A5" s="9" t="inlineStr">
        <is>
          <t>SHEETS</t>
        </is>
      </c>
    </row>
    <row r="6">
      <c r="A6" s="39" t="inlineStr">
        <is>
          <t>• Weights   — weight tables (แก้ค่าสีน้ำเงินเพื่อ tune balance)</t>
        </is>
      </c>
    </row>
    <row r="7">
      <c r="A7" s="39" t="inlineStr">
        <is>
          <t>• Equipment — 1 แถว = 1 อาวุธ (ตัวเลข stat + สรุป CP)</t>
        </is>
      </c>
    </row>
    <row r="8">
      <c r="A8" s="39" t="inlineStr">
        <is>
          <t>• Ability   — 1 แถว = 1 ability; อาวุธเดียวมีได้หลายแถว (Long format) เชื่อมด้วยชื่อ Weapon</t>
        </is>
      </c>
    </row>
    <row r="9">
      <c r="A9" s="39" t="inlineStr">
        <is>
          <t>• Forge Scaler — scale stat ของอาวุธไปยัง rarity ที่เลือก (กลไก Forge เดิม ปรับให้เข้ากับ layout ใหม่)</t>
        </is>
      </c>
    </row>
    <row r="11">
      <c r="A11" s="9" t="inlineStr">
        <is>
          <t>การเปลี่ยนจาก design เก่า</t>
        </is>
      </c>
    </row>
    <row r="12">
      <c r="A12" s="39" t="inlineStr">
        <is>
          <t>1. ตัดคอลัมน์ HP ออกจาก Equipment — Max HP มาจาก Character base + Recipe เท่านั้น</t>
        </is>
      </c>
    </row>
    <row r="13">
      <c r="A13" s="39" t="inlineStr">
        <is>
          <t xml:space="preserve">   (weight HP ใน Sum ยังอยู่ใน Weights แต่ไม่ถูก reference แล้ว; HP ในตาราง Effect Value ยังใช้ เช่น Restore HP)</t>
        </is>
      </c>
    </row>
    <row r="14">
      <c r="A14" s="39" t="inlineStr">
        <is>
          <t>2. 'Action Gauge' → 'Charge' — จำนวนช่อง Action Gauge ที่อาวุธเติมเมื่อออก action (ค่ามาก = Special เร็ว = ดี)</t>
        </is>
      </c>
    </row>
    <row r="15">
      <c r="A15" s="39" t="inlineStr">
        <is>
          <t>3. Trigger 'On-Action' → 'Special'</t>
        </is>
      </c>
    </row>
    <row r="16">
      <c r="A16" s="39" t="inlineStr">
        <is>
          <t>4. เพิ่มคอลัมน์ 'Lane' ใน Ability: Action / Passive / Special</t>
        </is>
      </c>
    </row>
    <row r="17">
      <c r="A17" s="39" t="inlineStr">
        <is>
          <t xml:space="preserve">   - Action = fire ตอนอาวุธชิ้นนี้ออก action (พวก On-Hit)</t>
        </is>
      </c>
    </row>
    <row r="18">
      <c r="A18" s="39" t="inlineStr">
        <is>
          <t xml:space="preserve">   - Passive = fire ตาม event ของ entity ไม่ว่าชิ้นไหน act (On-Damaged/On-Half/On-Exposed/On-Start)</t>
        </is>
      </c>
    </row>
    <row r="19">
      <c r="A19" s="39" t="inlineStr">
        <is>
          <t xml:space="preserve">   - Special = fire ตอน Action Gauge เต็ม</t>
        </is>
      </c>
    </row>
    <row r="21" ht="15.75" customHeight="1" s="50">
      <c r="A21" s="9" t="inlineStr">
        <is>
          <t>การเพิ่ม ability ที่ 2 ให้อาวุธ</t>
        </is>
      </c>
    </row>
    <row r="22" ht="15.75" customHeight="1" s="50">
      <c r="A22" s="5" t="inlineStr">
        <is>
          <t>เพิ่มอีกแถวใน Ability โดยใช้ชื่อ Weapon เดิม — Equipment!Ability Value จะรวมด้วย SUMIF ให้อัตโนมัติ</t>
        </is>
      </c>
    </row>
    <row r="23" ht="15.75" customHeight="1" s="50">
      <c r="A23" s="39" t="inlineStr">
        <is>
          <t>(ดูตัวอย่าง '⟨ex⟩ Twin Ladle' แถวสีเทาท้ายตาราง — ลบทิ้งได้)</t>
        </is>
      </c>
    </row>
    <row r="24" ht="15.75" customHeight="1" s="50"/>
    <row r="25" ht="15.75" customHeight="1" s="50">
      <c r="A25" s="9" t="inlineStr">
        <is>
          <t>สูตรหลัก</t>
        </is>
      </c>
    </row>
    <row r="26" ht="15.75" customHeight="1" s="50">
      <c r="A26" s="39" t="inlineStr">
        <is>
          <t>Sum          = ATK×W + DEF×W + SPD×W  (ไม่มี HP)</t>
        </is>
      </c>
    </row>
    <row r="27" ht="15.75" customHeight="1" s="50">
      <c r="A27" s="39" t="inlineStr">
        <is>
          <t>Ability Value = SUMIF(Ability.Weapon = ชิ้นนี้, Ability.Effect Value)</t>
        </is>
      </c>
    </row>
    <row r="28" ht="15.75" customHeight="1" s="50">
      <c r="A28" s="39" t="inlineStr">
        <is>
          <t>Combat Power = Sum + Ability Value + Charge×W(Charge)</t>
        </is>
      </c>
    </row>
    <row r="29" ht="15.75" customHeight="1" s="50">
      <c r="A29" s="39" t="inlineStr">
        <is>
          <t>Should Be CP = base ตาม rarity (Common4/Rare8/Epic12/Legend16/Mythic20)</t>
        </is>
      </c>
    </row>
    <row r="30" ht="15.75" customHeight="1" s="50">
      <c r="A30" s="39" t="inlineStr">
        <is>
          <t>Delta        = Combat Power − Should Be CP  (designer tune ให้ใกล้ 0)</t>
        </is>
      </c>
    </row>
    <row r="31" ht="15.75" customHeight="1" s="50"/>
    <row r="32" ht="15.75" customHeight="1" s="50">
      <c r="A32" s="9" t="inlineStr">
        <is>
          <t>หมายเหตุ balance</t>
        </is>
      </c>
    </row>
    <row r="33" ht="15.75" customHeight="1" s="50">
      <c r="A33" s="5" t="inlineStr">
        <is>
          <t>• คงค่า ATK/DEF/SPD เดิมทุกตัว — คอลัมน์ Delta จะโชว์ว่าตัวไหนต้อง rebudget หลังตัด HP (นี่คืองาน balance แยก ไม่ใช่ layout)</t>
        </is>
      </c>
    </row>
    <row r="34" ht="15.75" customHeight="1" s="50">
      <c r="A34" s="39" t="inlineStr">
        <is>
          <t>• On-Hit weight (=4) tune ไว้บนสมมติฐาน 1 attack = 1 On-Hit; ระบบใหม่ 1 speed-fill มีได้หลาย action → ควร re-tune จาก playtest</t>
        </is>
      </c>
    </row>
    <row r="35" ht="15.75" customHeight="1" s="50">
      <c r="A35" s="5" t="inlineStr">
        <is>
          <t>• สีน้ำเงิน = ช่องที่ designer กรอก | สีดำ = สูตรคำนวณ</t>
        </is>
      </c>
    </row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2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50" min="1" max="1"/>
    <col width="10" customWidth="1" style="50" min="2" max="2"/>
    <col width="8.710000000000001" customWidth="1" style="50" min="3" max="26"/>
  </cols>
  <sheetData>
    <row r="1">
      <c r="A1" s="1" t="inlineStr">
        <is>
          <t>WEIGHT TABLES (แก้ค่าสีน้ำเงินเพื่อ tune)</t>
        </is>
      </c>
    </row>
    <row r="3">
      <c r="A3" s="9" t="inlineStr">
        <is>
          <t>Rarity Base</t>
        </is>
      </c>
    </row>
    <row r="4">
      <c r="A4" s="10" t="inlineStr">
        <is>
          <t>Common</t>
        </is>
      </c>
      <c r="B4" s="8" t="n">
        <v>6</v>
      </c>
    </row>
    <row r="5">
      <c r="A5" s="10" t="inlineStr">
        <is>
          <t>Rare</t>
        </is>
      </c>
      <c r="B5" s="8" t="n">
        <v>9</v>
      </c>
    </row>
    <row r="6">
      <c r="A6" s="10" t="inlineStr">
        <is>
          <t>Epic</t>
        </is>
      </c>
      <c r="B6" s="8" t="n">
        <v>13</v>
      </c>
    </row>
    <row r="7">
      <c r="A7" s="10" t="inlineStr">
        <is>
          <t>Legend</t>
        </is>
      </c>
      <c r="B7" s="8" t="n">
        <v>17</v>
      </c>
    </row>
    <row r="8">
      <c r="A8" s="10" t="inlineStr">
        <is>
          <t>Mythic</t>
        </is>
      </c>
      <c r="B8" s="8" t="n">
        <v>22</v>
      </c>
    </row>
    <row r="11">
      <c r="A11" s="9" t="inlineStr">
        <is>
          <t>Trigger Weight</t>
        </is>
      </c>
    </row>
    <row r="12">
      <c r="A12" s="10" t="inlineStr">
        <is>
          <t>Passive</t>
        </is>
      </c>
      <c r="B12" s="8" t="n">
        <v>0</v>
      </c>
    </row>
    <row r="13">
      <c r="A13" s="10" t="inlineStr">
        <is>
          <t>On-Start</t>
        </is>
      </c>
      <c r="B13" s="8" t="n">
        <v>1.8</v>
      </c>
    </row>
    <row r="14">
      <c r="A14" s="10" t="inlineStr">
        <is>
          <t>On-Half</t>
        </is>
      </c>
      <c r="B14" s="8" t="n">
        <v>1.25</v>
      </c>
    </row>
    <row r="15">
      <c r="A15" s="10" t="inlineStr">
        <is>
          <t>On-Exposed</t>
        </is>
      </c>
      <c r="B15" s="8" t="n">
        <v>1.75</v>
      </c>
    </row>
    <row r="16">
      <c r="A16" s="10" t="inlineStr">
        <is>
          <t>Special</t>
        </is>
      </c>
      <c r="B16" s="8" t="n">
        <v>2</v>
      </c>
    </row>
    <row r="17">
      <c r="A17" s="10" t="inlineStr">
        <is>
          <t>On-Damaged</t>
        </is>
      </c>
      <c r="B17" s="8" t="n">
        <v>4</v>
      </c>
    </row>
    <row r="18">
      <c r="A18" s="10" t="inlineStr">
        <is>
          <t>On-Hit</t>
        </is>
      </c>
      <c r="B18" s="8" t="n">
        <v>3</v>
      </c>
    </row>
    <row r="21" ht="15.75" customHeight="1" s="50">
      <c r="A21" s="9" t="inlineStr">
        <is>
          <t>Verb Weight</t>
        </is>
      </c>
    </row>
    <row r="22" ht="15.75" customHeight="1" s="50">
      <c r="A22" s="10" t="inlineStr">
        <is>
          <t>Lose</t>
        </is>
      </c>
      <c r="B22" s="8" t="n">
        <v>-1.5</v>
      </c>
    </row>
    <row r="23" ht="15.75" customHeight="1" s="50">
      <c r="A23" s="10" t="inlineStr">
        <is>
          <t>Restore</t>
        </is>
      </c>
      <c r="B23" s="8" t="n">
        <v>1</v>
      </c>
    </row>
    <row r="24" ht="15.75" customHeight="1" s="50">
      <c r="A24" s="10" t="inlineStr">
        <is>
          <t>Gain</t>
        </is>
      </c>
      <c r="B24" s="8" t="n">
        <v>1.5</v>
      </c>
    </row>
    <row r="25" ht="15.75" customHeight="1" s="50">
      <c r="A25" s="10" t="inlineStr">
        <is>
          <t>Convert</t>
        </is>
      </c>
      <c r="B25" s="8" t="n">
        <v>1.3</v>
      </c>
    </row>
    <row r="26" ht="15.75" customHeight="1" s="50"/>
    <row r="27" ht="15.75" customHeight="1" s="50"/>
    <row r="28" ht="15.75" customHeight="1" s="50">
      <c r="A28" s="9" t="inlineStr">
        <is>
          <t>Magnitude Weight</t>
        </is>
      </c>
    </row>
    <row r="29" ht="15.75" customHeight="1" s="50">
      <c r="A29" s="10" t="n">
        <v>-1</v>
      </c>
      <c r="B29" s="8" t="n">
        <v>-0.1</v>
      </c>
    </row>
    <row r="30" ht="15.75" customHeight="1" s="50">
      <c r="A30" s="10" t="n">
        <v>1</v>
      </c>
      <c r="B30" s="8" t="n">
        <v>1</v>
      </c>
    </row>
    <row r="31" ht="15.75" customHeight="1" s="50">
      <c r="A31" s="10" t="n">
        <v>2</v>
      </c>
      <c r="B31" s="8" t="n">
        <v>1.25</v>
      </c>
    </row>
    <row r="32" ht="15.75" customHeight="1" s="50">
      <c r="A32" s="10" t="n">
        <v>3</v>
      </c>
      <c r="B32" s="8" t="n">
        <v>1.5</v>
      </c>
    </row>
    <row r="33" ht="15.75" customHeight="1" s="50">
      <c r="A33" s="10" t="n">
        <v>4</v>
      </c>
      <c r="B33" s="8" t="n">
        <v>1.75</v>
      </c>
    </row>
    <row r="34" ht="15.75" customHeight="1" s="50">
      <c r="A34" s="10" t="n">
        <v>5</v>
      </c>
      <c r="B34" s="8" t="n">
        <v>2</v>
      </c>
    </row>
    <row r="35" ht="15.75" customHeight="1" s="50">
      <c r="A35" s="10" t="inlineStr">
        <is>
          <t>Scaling</t>
        </is>
      </c>
      <c r="B35" s="8" t="n">
        <v>2</v>
      </c>
    </row>
    <row r="36" ht="15.75" customHeight="1" s="50"/>
    <row r="37" ht="15.75" customHeight="1" s="50"/>
    <row r="38" ht="15.75" customHeight="1" s="50">
      <c r="A38" s="9" t="inlineStr">
        <is>
          <t>Effect Sign</t>
        </is>
      </c>
    </row>
    <row r="39" ht="15.75" customHeight="1" s="50">
      <c r="A39" s="10" t="inlineStr">
        <is>
          <t>Positive</t>
        </is>
      </c>
      <c r="B39" s="8" t="n">
        <v>-1</v>
      </c>
    </row>
    <row r="40" ht="15.75" customHeight="1" s="50">
      <c r="A40" s="10" t="inlineStr">
        <is>
          <t>Negative</t>
        </is>
      </c>
      <c r="B40" s="8" t="n">
        <v>1</v>
      </c>
    </row>
    <row r="41" ht="15.75" customHeight="1" s="50">
      <c r="A41" s="10" t="inlineStr">
        <is>
          <t>None</t>
        </is>
      </c>
      <c r="B41" s="8" t="n">
        <v>0</v>
      </c>
    </row>
    <row r="42" ht="15.75" customHeight="1" s="50"/>
    <row r="43" ht="15.75" customHeight="1" s="50"/>
    <row r="44" ht="15.75" customHeight="1" s="50">
      <c r="A44" s="9" t="inlineStr">
        <is>
          <t>Charge Value (per slot)</t>
        </is>
      </c>
    </row>
    <row r="45" ht="15.75" customHeight="1" s="50">
      <c r="A45" s="10" t="inlineStr">
        <is>
          <t>Per Slot</t>
        </is>
      </c>
      <c r="B45" s="8" t="n">
        <v>2</v>
      </c>
    </row>
    <row r="46" ht="15.75" customHeight="1" s="50"/>
    <row r="47" ht="15.75" customHeight="1" s="50">
      <c r="A47" s="9" t="inlineStr">
        <is>
          <t>Stat Weight (for Sum)</t>
        </is>
      </c>
    </row>
    <row r="48" ht="15.75" customHeight="1" s="50">
      <c r="A48" s="10" t="inlineStr">
        <is>
          <t>HP</t>
        </is>
      </c>
      <c r="B48" s="8" t="n">
        <v>0.8</v>
      </c>
    </row>
    <row r="49" ht="15.75" customHeight="1" s="50">
      <c r="A49" s="10" t="inlineStr">
        <is>
          <t>ATK</t>
        </is>
      </c>
      <c r="B49" s="8" t="n">
        <v>2.5</v>
      </c>
    </row>
    <row r="50" ht="15.75" customHeight="1" s="50">
      <c r="A50" s="10" t="inlineStr">
        <is>
          <t>DEF</t>
        </is>
      </c>
      <c r="B50" s="8" t="n">
        <v>0.6</v>
      </c>
    </row>
    <row r="51" ht="15.75" customHeight="1" s="50">
      <c r="A51" s="10" t="inlineStr">
        <is>
          <t>SPD</t>
        </is>
      </c>
      <c r="B51" s="8" t="n">
        <v>2</v>
      </c>
    </row>
    <row r="52" ht="15.75" customHeight="1" s="50"/>
    <row r="53" ht="15.75" customHeight="1" s="50">
      <c r="A53" s="9" t="inlineStr">
        <is>
          <t>Target Weight</t>
        </is>
      </c>
    </row>
    <row r="54" ht="15.75" customHeight="1" s="50">
      <c r="A54" s="10" t="inlineStr">
        <is>
          <t>HP</t>
        </is>
      </c>
      <c r="B54" s="8" t="n">
        <v>1</v>
      </c>
    </row>
    <row r="55" ht="15.75" customHeight="1" s="50">
      <c r="A55" s="10" t="inlineStr">
        <is>
          <t>ATK</t>
        </is>
      </c>
      <c r="B55" s="8" t="n">
        <v>1.5</v>
      </c>
    </row>
    <row r="56" ht="15.75" customHeight="1" s="50">
      <c r="A56" s="10" t="inlineStr">
        <is>
          <t>DEF</t>
        </is>
      </c>
      <c r="B56" s="8" t="n">
        <v>0.8</v>
      </c>
    </row>
    <row r="57" ht="15.75" customHeight="1" s="50">
      <c r="A57" s="10" t="inlineStr">
        <is>
          <t>SPD</t>
        </is>
      </c>
      <c r="B57" s="8" t="n">
        <v>1.5</v>
      </c>
    </row>
    <row r="58" ht="15.75" customHeight="1" s="50">
      <c r="A58" s="10" t="inlineStr">
        <is>
          <t>Thorn</t>
        </is>
      </c>
      <c r="B58" s="8" t="n">
        <v>1.5</v>
      </c>
    </row>
    <row r="59" ht="15.75" customHeight="1" s="50">
      <c r="A59" s="10" t="inlineStr">
        <is>
          <t>Armor</t>
        </is>
      </c>
      <c r="B59" s="8" t="n">
        <v>2.5</v>
      </c>
    </row>
    <row r="60" ht="15.75" customHeight="1" s="50">
      <c r="A60" s="10" t="inlineStr">
        <is>
          <t>Fury</t>
        </is>
      </c>
      <c r="B60" s="8" t="n">
        <v>2</v>
      </c>
    </row>
    <row r="61" ht="15.75" customHeight="1" s="50">
      <c r="A61" s="10" t="inlineStr">
        <is>
          <t>MAX HP</t>
        </is>
      </c>
      <c r="B61" s="8" t="n">
        <v>3</v>
      </c>
    </row>
    <row r="62" ht="15.75" customHeight="1" s="50">
      <c r="A62" s="10" t="inlineStr">
        <is>
          <t>None</t>
        </is>
      </c>
      <c r="B62" s="8" t="n">
        <v>0</v>
      </c>
    </row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</sheetData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Common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Common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Common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Common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Rare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Rare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Rare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Rare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Epic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Epic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Epic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Epic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22.5" customHeight="1" s="50">
      <c r="A14" s="13" t="inlineStr">
        <is>
          <t>weapon-13</t>
        </is>
      </c>
      <c r="B14" s="38" t="inlineStr">
        <is>
          <t>Miracle Knife</t>
        </is>
      </c>
      <c r="C14" s="21" t="inlineStr">
        <is>
          <t>Legend</t>
        </is>
      </c>
      <c r="D14" s="21" t="inlineStr">
        <is>
          <t>Ancient</t>
        </is>
      </c>
      <c r="E14" s="17" t="n">
        <v>2</v>
      </c>
      <c r="F14" s="17" t="n">
        <v>0</v>
      </c>
      <c r="G14" s="17" t="n">
        <v>2</v>
      </c>
      <c r="H14" s="17" t="n">
        <v>1</v>
      </c>
      <c r="I14" s="18">
        <f>E14*Weights!$B$49+F14*Weights!$B$50+G14*Weights!$B$51</f>
        <v/>
      </c>
      <c r="J14" s="19">
        <f>IFERROR(__xludf.DUMMYFUNCTION("IFERROR(TEXTJOIN("", "", TRUE, FILTER(Ability!$I:$I, Ability!$A:$A = B14)), ""ไม่พบข้อมูล"")"),"On-Half: Gain 1 Armor ")</f>
        <v/>
      </c>
      <c r="K14" s="18">
        <f>SUMIF(Ability!$A:$A,B14,Ability!$G:$G)</f>
        <v/>
      </c>
      <c r="L14" s="18">
        <f>I14+K14+H14*Weights!$B$45</f>
        <v/>
      </c>
      <c r="M14" s="18">
        <f>VLOOKUP(C14,Weights!$A$4:$B$8,2,FALSE())</f>
        <v/>
      </c>
      <c r="N14" s="20">
        <f>L14-M14</f>
        <v/>
      </c>
    </row>
    <row r="15" ht="22.5" customHeight="1" s="50">
      <c r="A15" s="13" t="n"/>
      <c r="B15" s="44" t="inlineStr">
        <is>
          <t>⟨ex⟩ Twin Ladle</t>
        </is>
      </c>
      <c r="C15" s="24" t="inlineStr">
        <is>
          <t>Legend</t>
        </is>
      </c>
      <c r="D15" s="24" t="inlineStr">
        <is>
          <t>Bravery</t>
        </is>
      </c>
      <c r="E15" s="25" t="n">
        <v>0</v>
      </c>
      <c r="F15" s="25" t="n">
        <v>0</v>
      </c>
      <c r="G15" s="25" t="n">
        <v>2</v>
      </c>
      <c r="H15" s="25" t="n">
        <v>1</v>
      </c>
      <c r="I15" s="26">
        <f>E15*Weights!$B$49+F15*Weights!$B$50+G15*Weights!$B$51</f>
        <v/>
      </c>
      <c r="J15" s="19">
        <f>IFERROR(__xludf.DUMMYFUNCTION("IFERROR(TEXTJOIN("", "", TRUE, FILTER(Ability!$I:$I, Ability!$A:$A = B15)), ""ไม่พบข้อมูล"")"),"On-Hit: Gain 1 ATK , On-Half: Gain 3 Armor ")</f>
        <v/>
      </c>
      <c r="K15" s="26">
        <f>SUMIF(Ability!$A:$A,B15,Ability!$G:$G)</f>
        <v/>
      </c>
      <c r="L15" s="26">
        <f>I15+K15+H15*Weights!$B$45</f>
        <v/>
      </c>
      <c r="M15" s="26">
        <f>VLOOKUP(C15,Weights!$A$4:$B$8,2,FALSE())</f>
        <v/>
      </c>
      <c r="N15" s="27">
        <f>L15-M15</f>
        <v/>
      </c>
    </row>
    <row r="16" ht="22.5" customHeight="1" s="50">
      <c r="A16" s="13" t="n"/>
      <c r="B16" s="38" t="inlineStr">
        <is>
          <t>Golden pan</t>
        </is>
      </c>
      <c r="C16" s="21" t="inlineStr">
        <is>
          <t>Legend</t>
        </is>
      </c>
      <c r="D16" s="21" t="inlineStr">
        <is>
          <t>Bravery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8">
        <f>E16*Weights!$B$49+F16*Weights!$B$50+G16*Weights!$B$51</f>
        <v/>
      </c>
      <c r="J16" s="19">
        <f>IFERROR(__xludf.DUMMYFUNCTION("IFERROR(TEXTJOIN("", "", TRUE, FILTER(Ability!$I:$I, Ability!$A:$A = B16)), ""ไม่พบข้อมูล"")"),"On-Start: Gain Scaling MAX HP ")</f>
        <v/>
      </c>
      <c r="K16" s="18">
        <f>SUMIF(Ability!$A:$A,B16,Ability!$G:$G)</f>
        <v/>
      </c>
      <c r="L16" s="18">
        <f>I16+K16+H16*Weights!$B$45</f>
        <v/>
      </c>
      <c r="M16" s="18">
        <f>VLOOKUP(C16,Weights!$A$4:$B$8,2,FALSE())</f>
        <v/>
      </c>
      <c r="N16" s="20">
        <f>L16-M16</f>
        <v/>
      </c>
    </row>
    <row r="17" ht="22.5" customHeight="1" s="50">
      <c r="A17" s="13" t="n"/>
      <c r="B17" s="38" t="inlineStr">
        <is>
          <t>Surya Dough Kneader</t>
        </is>
      </c>
      <c r="C17" s="21" t="inlineStr">
        <is>
          <t>Legend</t>
        </is>
      </c>
      <c r="D17" s="21" t="inlineStr">
        <is>
          <t>Bravery</t>
        </is>
      </c>
      <c r="E17" s="17" t="n">
        <v>3</v>
      </c>
      <c r="F17" s="17" t="n">
        <v>0</v>
      </c>
      <c r="G17" s="17" t="n">
        <v>2</v>
      </c>
      <c r="H17" s="17" t="n">
        <v>0</v>
      </c>
      <c r="I17" s="18">
        <f>E17*Weights!$B$49+F17*Weights!$B$50+G17*Weights!$B$51</f>
        <v/>
      </c>
      <c r="J17" s="19">
        <f>IFERROR(__xludf.DUMMYFUNCTION("IFERROR(TEXTJOIN("", "", TRUE, FILTER(Ability!$I:$I, Ability!$A:$A = B17)), ""ไม่พบข้อมูล"")"),"On-Hit: Restore 2 HP ")</f>
        <v/>
      </c>
      <c r="K17" s="18">
        <f>SUMIF(Ability!$A:$A,B17,Ability!$G:$G)</f>
        <v/>
      </c>
      <c r="L17" s="18">
        <f>I17+K17+H17*Weights!$B$45</f>
        <v/>
      </c>
      <c r="M17" s="18">
        <f>VLOOKUP(C17,Weights!$A$4:$B$8,2,FALSE())</f>
        <v/>
      </c>
      <c r="N17" s="20">
        <f>L17-M17</f>
        <v/>
      </c>
    </row>
    <row r="18" ht="22.5" customHeight="1" s="50">
      <c r="A18" s="13" t="n"/>
      <c r="B18" s="38" t="inlineStr">
        <is>
          <t>The Great Microwave</t>
        </is>
      </c>
      <c r="C18" s="21" t="inlineStr">
        <is>
          <t>Legend</t>
        </is>
      </c>
      <c r="D18" s="21" t="inlineStr">
        <is>
          <t>Ancient</t>
        </is>
      </c>
      <c r="E18" s="17" t="n">
        <v>3</v>
      </c>
      <c r="F18" s="17" t="n">
        <v>12</v>
      </c>
      <c r="G18" s="17" t="n">
        <v>0</v>
      </c>
      <c r="H18" s="17" t="n">
        <v>1</v>
      </c>
      <c r="I18" s="18">
        <f>E18*Weights!$B$49+F18*Weights!$B$50+G18*Weights!$B$51</f>
        <v/>
      </c>
      <c r="J18" s="19">
        <f>IFERROR(__xludf.DUMMYFUNCTION("IFERROR(TEXTJOIN("", "", TRUE, FILTER(Ability!$I:$I, Ability!$A:$A = B18)), ""ไม่พบข้อมูล"")"),"ไม่พบข้อมูล")</f>
        <v/>
      </c>
      <c r="K18" s="18">
        <f>SUMIF(Ability!$A:$A,B18,Ability!$G:$G)</f>
        <v/>
      </c>
      <c r="L18" s="18">
        <f>I18+K18+H18*Weights!$B$45</f>
        <v/>
      </c>
      <c r="M18" s="18">
        <f>VLOOKUP(C18,Weights!$A$4:$B$8,2,FALSE())</f>
        <v/>
      </c>
      <c r="N18" s="20">
        <f>L18-M18</f>
        <v/>
      </c>
    </row>
    <row r="19" ht="22.5" customHeight="1" s="50">
      <c r="A19" s="13" t="n"/>
      <c r="B19" s="38" t="inlineStr">
        <is>
          <t>Dragon Bone Ladle</t>
        </is>
      </c>
      <c r="C19" s="21" t="inlineStr">
        <is>
          <t>Mythic</t>
        </is>
      </c>
      <c r="D19" s="21" t="inlineStr">
        <is>
          <t>Heavy</t>
        </is>
      </c>
      <c r="E19" s="17" t="n">
        <v>4</v>
      </c>
      <c r="F19" s="17" t="n">
        <v>4</v>
      </c>
      <c r="G19" s="17" t="n">
        <v>3</v>
      </c>
      <c r="H19" s="17" t="n">
        <v>2</v>
      </c>
      <c r="I19" s="18">
        <f>E19*Weights!$B$49+F19*Weights!$B$50+G19*Weights!$B$51</f>
        <v/>
      </c>
      <c r="J19" s="19">
        <f>IFERROR(__xludf.DUMMYFUNCTION("IFERROR(TEXTJOIN("", "", TRUE, FILTER(Ability!$I:$I, Ability!$A:$A = B19)), ""ไม่พบข้อมูล"")"),"ไม่พบข้อมูล")</f>
        <v/>
      </c>
      <c r="K19" s="18">
        <f>SUMIF(Ability!$A:$A,B19,Ability!$G:$G)</f>
        <v/>
      </c>
      <c r="L19" s="18">
        <f>I19+K19+H19*Weights!$B$45</f>
        <v/>
      </c>
      <c r="M19" s="18">
        <f>VLOOKUP(C19,Weights!$A$4:$B$8,2,FALSE())</f>
        <v/>
      </c>
      <c r="N19" s="20">
        <f>L19-M19</f>
        <v/>
      </c>
    </row>
    <row r="20" ht="22.5" customHeight="1" s="50">
      <c r="A20" s="13" t="n"/>
      <c r="B20" s="38" t="inlineStr">
        <is>
          <t>Emperor Knife</t>
        </is>
      </c>
      <c r="C20" s="21" t="inlineStr">
        <is>
          <t>Mythic</t>
        </is>
      </c>
      <c r="D20" s="21" t="inlineStr">
        <is>
          <t>Ancient</t>
        </is>
      </c>
      <c r="E20" s="17" t="n">
        <v>4</v>
      </c>
      <c r="F20" s="17" t="n">
        <v>0</v>
      </c>
      <c r="G20" s="17" t="n">
        <v>2</v>
      </c>
      <c r="H20" s="17" t="n">
        <v>0</v>
      </c>
      <c r="I20" s="18">
        <f>E20*Weights!$B$49+F20*Weights!$B$50+G20*Weights!$B$51</f>
        <v/>
      </c>
      <c r="J20" s="19">
        <f>IFERROR(__xludf.DUMMYFUNCTION("IFERROR(TEXTJOIN("", "", TRUE, FILTER(Ability!$I:$I, Ability!$A:$A = B20)), ""ไม่พบข้อมูล"")"),"On-Damaged: Convert 1 ATK ")</f>
        <v/>
      </c>
      <c r="K20" s="18">
        <f>SUMIF(Ability!$A:$A,B20,Ability!$G:$G)</f>
        <v/>
      </c>
      <c r="L20" s="18">
        <f>I20+K20+H20*Weights!$B$45</f>
        <v/>
      </c>
      <c r="M20" s="18">
        <f>VLOOKUP(C20,Weights!$A$4:$B$8,2,FALSE())</f>
        <v/>
      </c>
      <c r="N20" s="20">
        <f>L20-M20</f>
        <v/>
      </c>
    </row>
    <row r="21" ht="15.75" customHeight="1" s="50">
      <c r="A21" s="13" t="n"/>
      <c r="B21" s="38" t="inlineStr">
        <is>
          <t>Gaint Fork</t>
        </is>
      </c>
      <c r="C21" s="21" t="inlineStr">
        <is>
          <t>Mythic</t>
        </is>
      </c>
      <c r="D21" s="21" t="inlineStr">
        <is>
          <t>Tempest</t>
        </is>
      </c>
      <c r="E21" s="17" t="n">
        <v>6</v>
      </c>
      <c r="F21" s="17" t="n">
        <v>4</v>
      </c>
      <c r="G21" s="17" t="n">
        <v>0</v>
      </c>
      <c r="H21" s="17" t="n">
        <v>0</v>
      </c>
      <c r="I21" s="18">
        <f>E21*Weights!$B$49+F21*Weights!$B$50+G21*Weights!$B$51</f>
        <v/>
      </c>
      <c r="J21" s="19">
        <f>IFERROR(__xludf.DUMMYFUNCTION("IFERROR(TEXTJOIN("", "", TRUE, FILTER(Ability!$I:$I, Ability!$A:$A = B21)), ""ไม่พบข้อมูล"")"),"Special: Convert 1 SPD ")</f>
        <v/>
      </c>
      <c r="K21" s="18">
        <f>SUMIF(Ability!$A:$A,B21,Ability!$G:$G)</f>
        <v/>
      </c>
      <c r="L21" s="18">
        <f>I21+K21+H21*Weights!$B$45</f>
        <v/>
      </c>
      <c r="M21" s="18">
        <f>VLOOKUP(C21,Weights!$A$4:$B$8,2,FALSE())</f>
        <v/>
      </c>
      <c r="N21" s="20">
        <f>L21-M21</f>
        <v/>
      </c>
    </row>
    <row r="22" ht="15.75" customHeight="1" s="50">
      <c r="A22" s="13" t="n"/>
      <c r="B22" s="38" t="inlineStr">
        <is>
          <t>Maid Apron</t>
        </is>
      </c>
      <c r="C22" s="21" t="inlineStr">
        <is>
          <t>Mythic</t>
        </is>
      </c>
      <c r="D22" s="21" t="inlineStr">
        <is>
          <t>Humble</t>
        </is>
      </c>
      <c r="E22" s="17" t="n">
        <v>3</v>
      </c>
      <c r="F22" s="17" t="n">
        <v>5</v>
      </c>
      <c r="G22" s="17" t="n">
        <v>0</v>
      </c>
      <c r="H22" s="17" t="n">
        <v>1</v>
      </c>
      <c r="I22" s="18">
        <f>E22*Weights!$B$49+F22*Weights!$B$50+G22*Weights!$B$51</f>
        <v/>
      </c>
      <c r="J22" s="19">
        <f>IFERROR(__xludf.DUMMYFUNCTION("IFERROR(TEXTJOIN("", "", TRUE, FILTER(Ability!$I:$I, Ability!$A:$A = B22)), ""ไม่พบข้อมูล"")"),"Special: Gain 1 Armor ")</f>
        <v/>
      </c>
      <c r="K22" s="18">
        <f>SUMIF(Ability!$A:$A,B22,Ability!$G:$G)</f>
        <v/>
      </c>
      <c r="L22" s="18">
        <f>I22+K22+H22*Weights!$B$45</f>
        <v/>
      </c>
      <c r="M22" s="18">
        <f>VLOOKUP(C22,Weights!$A$4:$B$8,2,FALSE())</f>
        <v/>
      </c>
      <c r="N22" s="20">
        <f>L22-M22</f>
        <v/>
      </c>
    </row>
    <row r="23" ht="15.75" customHeight="1" s="50">
      <c r="A23" s="13" t="n"/>
      <c r="B23" s="38" t="inlineStr">
        <is>
          <t>Peem</t>
        </is>
      </c>
      <c r="C23" s="21" t="inlineStr">
        <is>
          <t>Mythic</t>
        </is>
      </c>
      <c r="D23" s="21" t="inlineStr">
        <is>
          <t>Humble</t>
        </is>
      </c>
      <c r="E23" s="17" t="n">
        <v>5</v>
      </c>
      <c r="F23" s="17" t="n">
        <v>5</v>
      </c>
      <c r="G23" s="17" t="n">
        <v>1</v>
      </c>
      <c r="H23" s="17" t="n">
        <v>2</v>
      </c>
      <c r="I23" s="18">
        <f>E23*Weights!$B$49+F23*Weights!$B$50+G23*Weights!$B$51</f>
        <v/>
      </c>
      <c r="J23" s="19">
        <f>IFERROR(__xludf.DUMMYFUNCTION("IFERROR(TEXTJOIN("", "", TRUE, FILTER(Ability!$I:$I, Ability!$A:$A = B23)), ""ไม่พบข้อมูล"")"),"ไม่พบข้อมูล")</f>
        <v/>
      </c>
      <c r="K23" s="18">
        <f>SUMIF(Ability!$A:$A,B23,Ability!$G:$G)</f>
        <v/>
      </c>
      <c r="L23" s="18">
        <f>I23+K23+H23*Weights!$B$45</f>
        <v/>
      </c>
      <c r="M23" s="18">
        <f>VLOOKUP(C23,Weights!$A$4:$B$8,2,FALSE())</f>
        <v/>
      </c>
      <c r="N23" s="20">
        <f>L23-M23</f>
        <v/>
      </c>
    </row>
    <row r="24" ht="15.75" customHeight="1" s="50">
      <c r="A24" t="inlineStr">
        <is>
          <t>weapon-23</t>
        </is>
      </c>
      <c r="B24" t="inlineStr">
        <is>
          <t>Cast Iron Lid</t>
        </is>
      </c>
      <c r="C24" t="inlineStr">
        <is>
          <t>Rare</t>
        </is>
      </c>
      <c r="D24" t="inlineStr">
        <is>
          <t>Heavy</t>
        </is>
      </c>
      <c r="E24" t="n">
        <v>2</v>
      </c>
      <c r="F24" t="n">
        <v>4</v>
      </c>
      <c r="G24" t="n">
        <v>1</v>
      </c>
      <c r="H24" t="n">
        <v>0</v>
      </c>
      <c r="I24">
        <f>E24*Weights!$B$49+F24*Weights!$B$50+G24*Weights!$B$51</f>
        <v/>
      </c>
      <c r="J24" t="inlineStr">
        <is>
          <t>ไม่พบข้อมูล</t>
        </is>
      </c>
      <c r="K24">
        <f>SUMIF(Ability!$A:$A,B24,Ability!$G:$G)</f>
        <v/>
      </c>
      <c r="L24">
        <f>I24+K24+H24*Weights!$B$45</f>
        <v/>
      </c>
      <c r="M24">
        <f>VLOOKUP(C24,Weights!$A$4:$B$8,2,FALSE())</f>
        <v/>
      </c>
    </row>
    <row r="25" ht="15.75" customHeight="1" s="50">
      <c r="A25" t="inlineStr">
        <is>
          <t>weapon-24</t>
        </is>
      </c>
      <c r="B25" t="inlineStr">
        <is>
          <t>Butcher Cleaver</t>
        </is>
      </c>
      <c r="C25" t="inlineStr">
        <is>
          <t>Legend</t>
        </is>
      </c>
      <c r="D25" t="inlineStr">
        <is>
          <t>Heavy</t>
        </is>
      </c>
      <c r="E25" t="n">
        <v>4</v>
      </c>
      <c r="F25" t="n">
        <v>3</v>
      </c>
      <c r="G25" t="n">
        <v>2</v>
      </c>
      <c r="H25" t="n">
        <v>0</v>
      </c>
      <c r="I25">
        <f>E25*Weights!$B$49+F25*Weights!$B$50+G25*Weights!$B$51</f>
        <v/>
      </c>
      <c r="J25" t="inlineStr">
        <is>
          <t>On-Half: Gain 3 DEF</t>
        </is>
      </c>
      <c r="K25">
        <f>SUMIF(Ability!$A:$A,B25,Ability!$G:$G)</f>
        <v/>
      </c>
      <c r="L25">
        <f>I25+K25+H25*Weights!$B$45</f>
        <v/>
      </c>
      <c r="M25">
        <f>VLOOKUP(C25,Weights!$A$4:$B$8,2,FALSE())</f>
        <v/>
      </c>
    </row>
    <row r="26" ht="15.75" customHeight="1" s="50">
      <c r="A26" t="inlineStr">
        <is>
          <t>weapon-25</t>
        </is>
      </c>
      <c r="B26" t="inlineStr">
        <is>
          <t>Titan Stone Mortar</t>
        </is>
      </c>
      <c r="C26" t="inlineStr">
        <is>
          <t>Mythic</t>
        </is>
      </c>
      <c r="D26" t="inlineStr">
        <is>
          <t>Heavy</t>
        </is>
      </c>
      <c r="E26" t="n">
        <v>5</v>
      </c>
      <c r="F26" t="n">
        <v>4</v>
      </c>
      <c r="G26" t="n">
        <v>1</v>
      </c>
      <c r="H26" t="n">
        <v>0</v>
      </c>
      <c r="I26">
        <f>E26*Weights!$B$49+F26*Weights!$B$50+G26*Weights!$B$51</f>
        <v/>
      </c>
      <c r="J26" t="inlineStr">
        <is>
          <t>On-Damaged: Gain 1 DEF</t>
        </is>
      </c>
      <c r="K26">
        <f>SUMIF(Ability!$A:$A,B26,Ability!$G:$G)</f>
        <v/>
      </c>
      <c r="L26">
        <f>I26+K26+H26*Weights!$B$45</f>
        <v/>
      </c>
      <c r="M26">
        <f>VLOOKUP(C26,Weights!$A$4:$B$8,2,FALSE())</f>
        <v/>
      </c>
    </row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conditionalFormatting sqref="N2:N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23" showDropDown="0" showInputMessage="0" showErrorMessage="0" allowBlank="1" type="list">
      <formula1>"Common,Rare,Epic,Legend,Mythic"</formula1>
    </dataValidation>
    <dataValidation sqref="D2:D23" showDropDown="1" showInputMessage="0" showErrorMessage="1" allowBlank="1" type="list">
      <formula1>"Humble,Tempest,Bravery,Heavy,Ancient"</formula1>
    </dataValidation>
    <dataValidation sqref="E2:I23 K2:N23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Common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Common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Common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Common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15.75" customHeight="1" s="50"/>
    <row r="7" ht="15.75" customHeight="1" s="50"/>
    <row r="8" ht="15.75" customHeight="1" s="50"/>
    <row r="9" ht="15.75" customHeight="1" s="50"/>
    <row r="10" ht="15.75" customHeight="1" s="50"/>
    <row r="11" ht="15.75" customHeight="1" s="50"/>
    <row r="12" ht="15.75" customHeight="1" s="50"/>
    <row r="13" ht="15.75" customHeight="1" s="50"/>
    <row r="14" ht="15.75" customHeight="1" s="50"/>
    <row r="15" ht="15.75" customHeight="1" s="50"/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</sheetData>
  <conditionalFormatting sqref="N2:N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5" showDropDown="0" showInputMessage="0" showErrorMessage="0" allowBlank="1" type="list">
      <formula1>"Common,Rare,Epic,Legend,Mythic"</formula1>
    </dataValidation>
    <dataValidation sqref="D2:D5" showDropDown="1" showInputMessage="0" showErrorMessage="1" allowBlank="1" type="list">
      <formula1>"Humble,Tempest,Bravery,Heavy,Ancient"</formula1>
    </dataValidation>
    <dataValidation sqref="E2:I5 K2:N5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Rare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Rare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Rare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Rare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Rare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Rare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Rare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Rare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15.75" customHeight="1" s="50">
      <c r="A10" t="inlineStr">
        <is>
          <t>weapon-23</t>
        </is>
      </c>
      <c r="B10" t="inlineStr">
        <is>
          <t>Cast Iron Lid</t>
        </is>
      </c>
      <c r="C10" t="inlineStr">
        <is>
          <t>Rare</t>
        </is>
      </c>
      <c r="D10" t="inlineStr">
        <is>
          <t>Heavy</t>
        </is>
      </c>
      <c r="E10" t="n">
        <v>2</v>
      </c>
      <c r="F10" t="n">
        <v>4</v>
      </c>
      <c r="G10" t="n">
        <v>1</v>
      </c>
      <c r="H10" t="n">
        <v>0</v>
      </c>
      <c r="I10">
        <f>E10*Weights!$B$49+F10*Weights!$B$50+G10*Weights!$B$51</f>
        <v/>
      </c>
    </row>
    <row r="11" ht="15.75" customHeight="1" s="50"/>
    <row r="12" ht="15.75" customHeight="1" s="50"/>
    <row r="13" ht="15.75" customHeight="1" s="50"/>
    <row r="14" ht="15.75" customHeight="1" s="50"/>
    <row r="15" ht="15.75" customHeight="1" s="50"/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</sheetData>
  <conditionalFormatting sqref="N2:N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9" showDropDown="0" showInputMessage="0" showErrorMessage="0" allowBlank="1" type="list">
      <formula1>"Common,Rare,Epic,Legend,Mythic"</formula1>
    </dataValidation>
    <dataValidation sqref="D2:D9" showDropDown="1" showInputMessage="0" showErrorMessage="1" allowBlank="1" type="list">
      <formula1>"Humble,Tempest,Bravery,Heavy,Ancient"</formula1>
    </dataValidation>
    <dataValidation sqref="E2:I9 K2:N9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Epic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Epic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Epic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Epic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Epic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Epic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Epic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Epic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Epic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Epic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Epic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Epic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15.75" customHeight="1" s="50">
      <c r="A14" t="inlineStr">
        <is>
          <t>weapon-23</t>
        </is>
      </c>
      <c r="B14" t="inlineStr">
        <is>
          <t>Cast Iron Lid</t>
        </is>
      </c>
      <c r="C14" t="inlineStr">
        <is>
          <t>Rare</t>
        </is>
      </c>
      <c r="D14" t="inlineStr">
        <is>
          <t>Heavy</t>
        </is>
      </c>
      <c r="E14" t="n">
        <v>2</v>
      </c>
      <c r="F14" t="n">
        <v>4</v>
      </c>
      <c r="G14" t="n">
        <v>1</v>
      </c>
      <c r="H14" t="n">
        <v>0</v>
      </c>
      <c r="I14">
        <f>E14*Weights!$B$49+F14*Weights!$B$50+G14*Weights!$B$51</f>
        <v/>
      </c>
    </row>
    <row r="15" ht="15.75" customHeight="1" s="50"/>
    <row r="16" ht="15.75" customHeight="1" s="50"/>
    <row r="17" ht="15.75" customHeight="1" s="50"/>
    <row r="18" ht="15.75" customHeight="1" s="50"/>
    <row r="19" ht="15.75" customHeight="1" s="50"/>
    <row r="20" ht="15.75" customHeight="1" s="50"/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</sheetData>
  <conditionalFormatting sqref="N2:N1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13" showDropDown="0" showInputMessage="0" showErrorMessage="0" allowBlank="1" type="list">
      <formula1>"Common,Rare,Epic,Legend,Mythic"</formula1>
    </dataValidation>
    <dataValidation sqref="D2:D13" showDropDown="1" showInputMessage="0" showErrorMessage="1" allowBlank="1" type="list">
      <formula1>"Humble,Tempest,Bravery,Heavy,Ancient"</formula1>
    </dataValidation>
    <dataValidation sqref="E2:I13 K2:N13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Legend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Legend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Legend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Legend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Legend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Legend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Legend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Legend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Legend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Legend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Legend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Legend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22.5" customHeight="1" s="50">
      <c r="A14" s="13" t="inlineStr">
        <is>
          <t>weapon-13</t>
        </is>
      </c>
      <c r="B14" s="38" t="inlineStr">
        <is>
          <t>Miracle Knife</t>
        </is>
      </c>
      <c r="C14" s="21" t="inlineStr">
        <is>
          <t>Legend</t>
        </is>
      </c>
      <c r="D14" s="21" t="inlineStr">
        <is>
          <t>Ancient</t>
        </is>
      </c>
      <c r="E14" s="17" t="n">
        <v>2</v>
      </c>
      <c r="F14" s="17" t="n">
        <v>0</v>
      </c>
      <c r="G14" s="17" t="n">
        <v>2</v>
      </c>
      <c r="H14" s="17" t="n">
        <v>1</v>
      </c>
      <c r="I14" s="18">
        <f>E14*Weights!$B$49+F14*Weights!$B$50+G14*Weights!$B$51</f>
        <v/>
      </c>
      <c r="J14" s="19">
        <f>IFERROR(__xludf.DUMMYFUNCTION("IFERROR(TEXTJOIN("", "", TRUE, FILTER(Ability!$I:$I, Ability!$A:$A = B14)), ""ไม่พบข้อมูล"")"),"On-Half: Gain 1 Armor ")</f>
        <v/>
      </c>
      <c r="K14" s="18">
        <f>SUMIF(Ability!$A:$A,B14,Ability!$G:$G)</f>
        <v/>
      </c>
      <c r="L14" s="18">
        <f>I14+K14+H14*Weights!$B$45</f>
        <v/>
      </c>
      <c r="M14" s="18">
        <f>VLOOKUP(C14,Weights!$A$4:$B$8,2,FALSE())</f>
        <v/>
      </c>
      <c r="N14" s="20">
        <f>L14-M14</f>
        <v/>
      </c>
    </row>
    <row r="15" ht="22.5" customHeight="1" s="50">
      <c r="A15" s="13" t="n"/>
      <c r="B15" s="44" t="inlineStr">
        <is>
          <t>⟨ex⟩ Twin Ladle</t>
        </is>
      </c>
      <c r="C15" s="24" t="inlineStr">
        <is>
          <t>Legend</t>
        </is>
      </c>
      <c r="D15" s="24" t="inlineStr">
        <is>
          <t>Bravery</t>
        </is>
      </c>
      <c r="E15" s="25" t="n">
        <v>0</v>
      </c>
      <c r="F15" s="25" t="n">
        <v>0</v>
      </c>
      <c r="G15" s="25" t="n">
        <v>2</v>
      </c>
      <c r="H15" s="25" t="n">
        <v>1</v>
      </c>
      <c r="I15" s="26">
        <f>E15*Weights!$B$49+F15*Weights!$B$50+G15*Weights!$B$51</f>
        <v/>
      </c>
      <c r="J15" s="19">
        <f>IFERROR(__xludf.DUMMYFUNCTION("IFERROR(TEXTJOIN("", "", TRUE, FILTER(Ability!$I:$I, Ability!$A:$A = B15)), ""ไม่พบข้อมูล"")"),"On-Hit: Gain 1 ATK , On-Half: Gain 3 Armor ")</f>
        <v/>
      </c>
      <c r="K15" s="26">
        <f>SUMIF(Ability!$A:$A,B15,Ability!$G:$G)</f>
        <v/>
      </c>
      <c r="L15" s="26">
        <f>I15+K15+H15*Weights!$B$45</f>
        <v/>
      </c>
      <c r="M15" s="26">
        <f>VLOOKUP(C15,Weights!$A$4:$B$8,2,FALSE())</f>
        <v/>
      </c>
      <c r="N15" s="27">
        <f>L15-M15</f>
        <v/>
      </c>
    </row>
    <row r="16" ht="22.5" customHeight="1" s="50">
      <c r="A16" s="13" t="n"/>
      <c r="B16" s="38" t="inlineStr">
        <is>
          <t>Golden pan</t>
        </is>
      </c>
      <c r="C16" s="21" t="inlineStr">
        <is>
          <t>Legend</t>
        </is>
      </c>
      <c r="D16" s="21" t="inlineStr">
        <is>
          <t>Bravery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8">
        <f>E16*Weights!$B$49+F16*Weights!$B$50+G16*Weights!$B$51</f>
        <v/>
      </c>
      <c r="J16" s="19">
        <f>IFERROR(__xludf.DUMMYFUNCTION("IFERROR(TEXTJOIN("", "", TRUE, FILTER(Ability!$I:$I, Ability!$A:$A = B16)), ""ไม่พบข้อมูล"")"),"On-Start: Gain Scaling MAX HP ")</f>
        <v/>
      </c>
      <c r="K16" s="18">
        <f>SUMIF(Ability!$A:$A,B16,Ability!$G:$G)</f>
        <v/>
      </c>
      <c r="L16" s="18">
        <f>I16+K16+H16*Weights!$B$45</f>
        <v/>
      </c>
      <c r="M16" s="18">
        <f>VLOOKUP(C16,Weights!$A$4:$B$8,2,FALSE())</f>
        <v/>
      </c>
      <c r="N16" s="20">
        <f>L16-M16</f>
        <v/>
      </c>
    </row>
    <row r="17" ht="22.5" customHeight="1" s="50">
      <c r="A17" s="13" t="n"/>
      <c r="B17" s="38" t="inlineStr">
        <is>
          <t>Surya Dough Kneader</t>
        </is>
      </c>
      <c r="C17" s="21" t="inlineStr">
        <is>
          <t>Legend</t>
        </is>
      </c>
      <c r="D17" s="21" t="inlineStr">
        <is>
          <t>Bravery</t>
        </is>
      </c>
      <c r="E17" s="17" t="n">
        <v>3</v>
      </c>
      <c r="F17" s="17" t="n">
        <v>0</v>
      </c>
      <c r="G17" s="17" t="n">
        <v>2</v>
      </c>
      <c r="H17" s="17" t="n">
        <v>0</v>
      </c>
      <c r="I17" s="18">
        <f>E17*Weights!$B$49+F17*Weights!$B$50+G17*Weights!$B$51</f>
        <v/>
      </c>
      <c r="J17" s="19">
        <f>IFERROR(__xludf.DUMMYFUNCTION("IFERROR(TEXTJOIN("", "", TRUE, FILTER(Ability!$I:$I, Ability!$A:$A = B17)), ""ไม่พบข้อมูล"")"),"On-Hit: Restore 2 HP ")</f>
        <v/>
      </c>
      <c r="K17" s="18">
        <f>SUMIF(Ability!$A:$A,B17,Ability!$G:$G)</f>
        <v/>
      </c>
      <c r="L17" s="18">
        <f>I17+K17+H17*Weights!$B$45</f>
        <v/>
      </c>
      <c r="M17" s="18">
        <f>VLOOKUP(C17,Weights!$A$4:$B$8,2,FALSE())</f>
        <v/>
      </c>
      <c r="N17" s="20">
        <f>L17-M17</f>
        <v/>
      </c>
    </row>
    <row r="18" ht="22.5" customHeight="1" s="50">
      <c r="A18" s="13" t="n"/>
      <c r="B18" s="38" t="inlineStr">
        <is>
          <t>The Great Microwave</t>
        </is>
      </c>
      <c r="C18" s="21" t="inlineStr">
        <is>
          <t>Legend</t>
        </is>
      </c>
      <c r="D18" s="21" t="inlineStr">
        <is>
          <t>Ancient</t>
        </is>
      </c>
      <c r="E18" s="17" t="n">
        <v>3</v>
      </c>
      <c r="F18" s="17" t="n">
        <v>12</v>
      </c>
      <c r="G18" s="17" t="n">
        <v>0</v>
      </c>
      <c r="H18" s="17" t="n">
        <v>1</v>
      </c>
      <c r="I18" s="18">
        <f>E18*Weights!$B$49+F18*Weights!$B$50+G18*Weights!$B$51</f>
        <v/>
      </c>
      <c r="J18" s="19">
        <f>IFERROR(__xludf.DUMMYFUNCTION("IFERROR(TEXTJOIN("", "", TRUE, FILTER(Ability!$I:$I, Ability!$A:$A = B18)), ""ไม่พบข้อมูล"")"),"ไม่พบข้อมูล")</f>
        <v/>
      </c>
      <c r="K18" s="18">
        <f>SUMIF(Ability!$A:$A,B18,Ability!$G:$G)</f>
        <v/>
      </c>
      <c r="L18" s="18">
        <f>I18+K18+H18*Weights!$B$45</f>
        <v/>
      </c>
      <c r="M18" s="18">
        <f>VLOOKUP(C18,Weights!$A$4:$B$8,2,FALSE())</f>
        <v/>
      </c>
      <c r="N18" s="20">
        <f>L18-M18</f>
        <v/>
      </c>
    </row>
    <row r="19" ht="15.75" customHeight="1" s="50">
      <c r="A19" t="inlineStr">
        <is>
          <t>weapon-23</t>
        </is>
      </c>
      <c r="B19" t="inlineStr">
        <is>
          <t>Cast Iron Lid</t>
        </is>
      </c>
      <c r="C19" t="inlineStr">
        <is>
          <t>Rare</t>
        </is>
      </c>
      <c r="D19" t="inlineStr">
        <is>
          <t>Heavy</t>
        </is>
      </c>
      <c r="E19" t="n">
        <v>2</v>
      </c>
      <c r="F19" t="n">
        <v>4</v>
      </c>
      <c r="G19" t="n">
        <v>1</v>
      </c>
      <c r="H19" t="n">
        <v>0</v>
      </c>
      <c r="I19">
        <f>E19*Weights!$B$49+F19*Weights!$B$50+G19*Weights!$B$51</f>
        <v/>
      </c>
    </row>
    <row r="20" ht="15.75" customHeight="1" s="50">
      <c r="A20" t="inlineStr">
        <is>
          <t>weapon-24</t>
        </is>
      </c>
      <c r="B20" t="inlineStr">
        <is>
          <t>Butcher Cleaver</t>
        </is>
      </c>
      <c r="C20" t="inlineStr">
        <is>
          <t>Legend</t>
        </is>
      </c>
      <c r="D20" t="inlineStr">
        <is>
          <t>Heavy</t>
        </is>
      </c>
      <c r="E20" t="n">
        <v>4</v>
      </c>
      <c r="F20" t="n">
        <v>3</v>
      </c>
      <c r="G20" t="n">
        <v>2</v>
      </c>
      <c r="H20" t="n">
        <v>0</v>
      </c>
      <c r="I20">
        <f>E20*Weights!$B$49+F20*Weights!$B$50+G20*Weights!$B$51</f>
        <v/>
      </c>
    </row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</sheetData>
  <conditionalFormatting sqref="N2:N1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18" showDropDown="0" showInputMessage="0" showErrorMessage="0" allowBlank="1" type="list">
      <formula1>"Common,Rare,Epic,Legend,Mythic"</formula1>
    </dataValidation>
    <dataValidation sqref="D2:D18" showDropDown="1" showInputMessage="0" showErrorMessage="1" allowBlank="1" type="list">
      <formula1>"Humble,Tempest,Bravery,Heavy,Ancient"</formula1>
    </dataValidation>
    <dataValidation sqref="E2:I18 K2:N18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2"/>
    <col width="14.43" customWidth="1" style="50" min="3" max="3"/>
    <col width="13.86" customWidth="1" style="50" min="4" max="4"/>
    <col width="16.43" customWidth="1" style="50" min="5" max="8"/>
    <col width="11.71" customWidth="1" style="50" min="9" max="9"/>
    <col width="32.86" customWidth="1" style="50" min="10" max="10"/>
    <col width="14.29" customWidth="1" style="50" min="11" max="11"/>
    <col width="14.14" customWidth="1" style="50" min="12" max="12"/>
    <col width="12.86" customWidth="1" style="50" min="13" max="13"/>
    <col width="11.71" customWidth="1" style="50" min="14" max="14"/>
    <col width="8.710000000000001" customWidth="1" style="50" min="15" max="28"/>
  </cols>
  <sheetData>
    <row r="1" ht="22.5" customHeight="1" s="50">
      <c r="A1" s="11" t="inlineStr">
        <is>
          <t>ID</t>
        </is>
      </c>
      <c r="B1" s="11" t="inlineStr">
        <is>
          <t>Weapon</t>
        </is>
      </c>
      <c r="C1" s="11" t="inlineStr">
        <is>
          <t>Rarity</t>
        </is>
      </c>
      <c r="D1" s="11" t="inlineStr">
        <is>
          <t>Set</t>
        </is>
      </c>
      <c r="E1" s="11" t="inlineStr">
        <is>
          <t>ATK</t>
        </is>
      </c>
      <c r="F1" s="11" t="inlineStr">
        <is>
          <t>DEF</t>
        </is>
      </c>
      <c r="G1" s="11" t="inlineStr">
        <is>
          <t>SPD</t>
        </is>
      </c>
      <c r="H1" s="11" t="inlineStr">
        <is>
          <t>Charge</t>
        </is>
      </c>
      <c r="I1" s="11" t="inlineStr">
        <is>
          <t>Sum</t>
        </is>
      </c>
      <c r="J1" s="12" t="inlineStr">
        <is>
          <t>Effect</t>
        </is>
      </c>
      <c r="K1" s="11" t="inlineStr">
        <is>
          <t>Ability Value</t>
        </is>
      </c>
      <c r="L1" s="11" t="inlineStr">
        <is>
          <t>Combat Power</t>
        </is>
      </c>
      <c r="M1" s="11" t="inlineStr">
        <is>
          <t>Should Be CP</t>
        </is>
      </c>
      <c r="N1" s="11" t="inlineStr">
        <is>
          <t>Delta</t>
        </is>
      </c>
    </row>
    <row r="2" ht="22.5" customHeight="1" s="50">
      <c r="A2" s="13" t="inlineStr">
        <is>
          <t>weapon-01</t>
        </is>
      </c>
      <c r="B2" s="38" t="inlineStr">
        <is>
          <t>Frying pan</t>
        </is>
      </c>
      <c r="C2" s="21" t="inlineStr">
        <is>
          <t>Mythic</t>
        </is>
      </c>
      <c r="D2" s="21" t="inlineStr">
        <is>
          <t>Humble</t>
        </is>
      </c>
      <c r="E2" s="17" t="n">
        <v>1</v>
      </c>
      <c r="F2" s="17" t="n">
        <v>1</v>
      </c>
      <c r="G2" s="17" t="n">
        <v>0</v>
      </c>
      <c r="H2" s="17" t="n">
        <v>0</v>
      </c>
      <c r="I2" s="18">
        <f>E2*Weights!$B$49+F2*Weights!$B$50+G2*Weights!$B$51</f>
        <v/>
      </c>
      <c r="J2" s="19">
        <f>IFERROR(__xludf.DUMMYFUNCTION("IFERROR(TEXTJOIN("", "", TRUE, FILTER(Ability!$I:$I, Ability!$A:$A = B2)), ""ไม่พบข้อมูล"")"),"On-Exposed: Gain 2 DEF ")</f>
        <v/>
      </c>
      <c r="K2" s="18">
        <f>SUMIF(Ability!$A:$A,B2,Ability!$G:$G)</f>
        <v/>
      </c>
      <c r="L2" s="18">
        <f>I2+K2+H2*Weights!$B$45</f>
        <v/>
      </c>
      <c r="M2" s="18">
        <f>VLOOKUP(C2,Weights!$A$4:$B$8,2,FALSE())</f>
        <v/>
      </c>
      <c r="N2" s="20">
        <f>L2-M2</f>
        <v/>
      </c>
    </row>
    <row r="3" ht="22.5" customHeight="1" s="50">
      <c r="A3" s="13" t="inlineStr">
        <is>
          <t>weapon-02</t>
        </is>
      </c>
      <c r="B3" s="38" t="inlineStr">
        <is>
          <t>Broken Plate</t>
        </is>
      </c>
      <c r="C3" s="21" t="inlineStr">
        <is>
          <t>Mythic</t>
        </is>
      </c>
      <c r="D3" s="21" t="inlineStr">
        <is>
          <t>Humble</t>
        </is>
      </c>
      <c r="E3" s="17" t="n">
        <v>1</v>
      </c>
      <c r="F3" s="17" t="n">
        <v>0</v>
      </c>
      <c r="G3" s="17" t="n">
        <v>0</v>
      </c>
      <c r="H3" s="17" t="n">
        <v>0</v>
      </c>
      <c r="I3" s="18">
        <f>E3*Weights!$B$49+F3*Weights!$B$50+G3*Weights!$B$51</f>
        <v/>
      </c>
      <c r="J3" s="19">
        <f>IFERROR(__xludf.DUMMYFUNCTION("IFERROR(TEXTJOIN("", "", TRUE, FILTER(Ability!$I:$I, Ability!$A:$A = B3)), ""ไม่พบข้อมูล"")"),"On-Half: Gain 2 ATK ")</f>
        <v/>
      </c>
      <c r="K3" s="18">
        <f>SUMIF(Ability!$A:$A,B3,Ability!$G:$G)</f>
        <v/>
      </c>
      <c r="L3" s="18">
        <f>I3+K3+H3*Weights!$B$45</f>
        <v/>
      </c>
      <c r="M3" s="18">
        <f>VLOOKUP(C3,Weights!$A$4:$B$8,2,FALSE())</f>
        <v/>
      </c>
      <c r="N3" s="20">
        <f>L3-M3</f>
        <v/>
      </c>
    </row>
    <row r="4" ht="22.5" customHeight="1" s="50">
      <c r="A4" s="13" t="inlineStr">
        <is>
          <t>weapon-03</t>
        </is>
      </c>
      <c r="B4" s="38" t="inlineStr">
        <is>
          <t>Mysterious Pot</t>
        </is>
      </c>
      <c r="C4" s="21" t="inlineStr">
        <is>
          <t>Mythic</t>
        </is>
      </c>
      <c r="D4" s="21" t="inlineStr">
        <is>
          <t>Tempest</t>
        </is>
      </c>
      <c r="E4" s="17" t="n">
        <v>1</v>
      </c>
      <c r="F4" s="17" t="n">
        <v>3</v>
      </c>
      <c r="G4" s="17" t="n">
        <v>0</v>
      </c>
      <c r="H4" s="17" t="n">
        <v>1</v>
      </c>
      <c r="I4" s="18">
        <f>E4*Weights!$B$49+F4*Weights!$B$50+G4*Weights!$B$51</f>
        <v/>
      </c>
      <c r="J4" s="19">
        <f>IFERROR(__xludf.DUMMYFUNCTION("IFERROR(TEXTJOIN("", "", TRUE, FILTER(Ability!$I:$I, Ability!$A:$A = B4)), ""ไม่พบข้อมูล"")"),"ไม่พบข้อมูล")</f>
        <v/>
      </c>
      <c r="K4" s="18">
        <f>SUMIF(Ability!$A:$A,B4,Ability!$G:$G)</f>
        <v/>
      </c>
      <c r="L4" s="18">
        <f>I4+K4+H4*Weights!$B$45</f>
        <v/>
      </c>
      <c r="M4" s="18">
        <f>VLOOKUP(C4,Weights!$A$4:$B$8,2,FALSE())</f>
        <v/>
      </c>
      <c r="N4" s="20">
        <f>L4-M4</f>
        <v/>
      </c>
    </row>
    <row r="5" ht="22.5" customHeight="1" s="50">
      <c r="A5" s="13" t="inlineStr">
        <is>
          <t>weapon-04</t>
        </is>
      </c>
      <c r="B5" s="38" t="inlineStr">
        <is>
          <t>Mortar and Pestle</t>
        </is>
      </c>
      <c r="C5" s="21" t="inlineStr">
        <is>
          <t>Mythic</t>
        </is>
      </c>
      <c r="D5" s="21" t="inlineStr">
        <is>
          <t>Bravery</t>
        </is>
      </c>
      <c r="E5" s="17" t="n">
        <v>0</v>
      </c>
      <c r="F5" s="17" t="n">
        <v>3</v>
      </c>
      <c r="G5" s="17" t="n">
        <v>1</v>
      </c>
      <c r="H5" s="17" t="n">
        <v>0</v>
      </c>
      <c r="I5" s="18">
        <f>E5*Weights!$B$49+F5*Weights!$B$50+G5*Weights!$B$51</f>
        <v/>
      </c>
      <c r="J5" s="19">
        <f>IFERROR(__xludf.DUMMYFUNCTION("IFERROR(TEXTJOIN("", "", TRUE, FILTER(Ability!$I:$I, Ability!$A:$A = B5)), ""ไม่พบข้อมูล"")"),"On-Half: Restore 5 HP ")</f>
        <v/>
      </c>
      <c r="K5" s="18">
        <f>SUMIF(Ability!$A:$A,B5,Ability!$G:$G)</f>
        <v/>
      </c>
      <c r="L5" s="18">
        <f>I5+K5+H5*Weights!$B$45</f>
        <v/>
      </c>
      <c r="M5" s="18">
        <f>VLOOKUP(C5,Weights!$A$4:$B$8,2,FALSE())</f>
        <v/>
      </c>
      <c r="N5" s="20">
        <f>L5-M5</f>
        <v/>
      </c>
    </row>
    <row r="6" ht="22.5" customHeight="1" s="50">
      <c r="A6" s="13" t="inlineStr">
        <is>
          <t>weapon-05</t>
        </is>
      </c>
      <c r="B6" s="38" t="inlineStr">
        <is>
          <t>Spirit Fork</t>
        </is>
      </c>
      <c r="C6" s="21" t="inlineStr">
        <is>
          <t>Mythic</t>
        </is>
      </c>
      <c r="D6" s="21" t="inlineStr">
        <is>
          <t>Heavy</t>
        </is>
      </c>
      <c r="E6" s="17" t="n">
        <v>4</v>
      </c>
      <c r="F6" s="17" t="n">
        <v>0</v>
      </c>
      <c r="G6" s="17" t="n">
        <v>0</v>
      </c>
      <c r="H6" s="17" t="n">
        <v>0</v>
      </c>
      <c r="I6" s="18">
        <f>E6*Weights!$B$49+F6*Weights!$B$50+G6*Weights!$B$51</f>
        <v/>
      </c>
      <c r="J6" s="19">
        <f>IFERROR(__xludf.DUMMYFUNCTION("IFERROR(TEXTJOIN("", "", TRUE, FILTER(Ability!$I:$I, Ability!$A:$A = B6)), ""ไม่พบข้อมูล"")"),"On-Hit: Gain -1 ATK ")</f>
        <v/>
      </c>
      <c r="K6" s="18">
        <f>SUMIF(Ability!$A:$A,B6,Ability!$G:$G)</f>
        <v/>
      </c>
      <c r="L6" s="18">
        <f>I6+K6+H6*Weights!$B$45</f>
        <v/>
      </c>
      <c r="M6" s="18">
        <f>VLOOKUP(C6,Weights!$A$4:$B$8,2,FALSE())</f>
        <v/>
      </c>
      <c r="N6" s="20">
        <f>L6-M6</f>
        <v/>
      </c>
    </row>
    <row r="7" ht="22.5" customHeight="1" s="50">
      <c r="A7" s="13" t="inlineStr">
        <is>
          <t>weapon-06</t>
        </is>
      </c>
      <c r="B7" s="38" t="inlineStr">
        <is>
          <t>Chopping Board</t>
        </is>
      </c>
      <c r="C7" s="21" t="inlineStr">
        <is>
          <t>Mythic</t>
        </is>
      </c>
      <c r="D7" s="21" t="inlineStr">
        <is>
          <t>Humble</t>
        </is>
      </c>
      <c r="E7" s="17" t="n">
        <v>0</v>
      </c>
      <c r="F7" s="17" t="n">
        <v>5</v>
      </c>
      <c r="G7" s="17" t="n">
        <v>1</v>
      </c>
      <c r="H7" s="17" t="n">
        <v>0</v>
      </c>
      <c r="I7" s="18">
        <f>E7*Weights!$B$49+F7*Weights!$B$50+G7*Weights!$B$51</f>
        <v/>
      </c>
      <c r="J7" s="19">
        <f>IFERROR(__xludf.DUMMYFUNCTION("IFERROR(TEXTJOIN("", "", TRUE, FILTER(Ability!$I:$I, Ability!$A:$A = B7)), ""ไม่พบข้อมูล"")"),"On-Hit: Gain 2 DEF ")</f>
        <v/>
      </c>
      <c r="K7" s="18">
        <f>SUMIF(Ability!$A:$A,B7,Ability!$G:$G)</f>
        <v/>
      </c>
      <c r="L7" s="18">
        <f>I7+K7+H7*Weights!$B$45</f>
        <v/>
      </c>
      <c r="M7" s="18">
        <f>VLOOKUP(C7,Weights!$A$4:$B$8,2,FALSE())</f>
        <v/>
      </c>
      <c r="N7" s="20">
        <f>L7-M7</f>
        <v/>
      </c>
    </row>
    <row r="8" ht="22.5" customHeight="1" s="50">
      <c r="A8" s="13" t="inlineStr">
        <is>
          <t>weapon-07</t>
        </is>
      </c>
      <c r="B8" s="38" t="inlineStr">
        <is>
          <t>Windmill Spatula</t>
        </is>
      </c>
      <c r="C8" s="21" t="inlineStr">
        <is>
          <t>Mythic</t>
        </is>
      </c>
      <c r="D8" s="21" t="inlineStr">
        <is>
          <t>Ancient</t>
        </is>
      </c>
      <c r="E8" s="17" t="n">
        <v>0</v>
      </c>
      <c r="F8" s="17" t="n">
        <v>0</v>
      </c>
      <c r="G8" s="17" t="n">
        <v>1</v>
      </c>
      <c r="H8" s="17" t="n">
        <v>0</v>
      </c>
      <c r="I8" s="18">
        <f>E8*Weights!$B$49+F8*Weights!$B$50+G8*Weights!$B$51</f>
        <v/>
      </c>
      <c r="J8" s="19">
        <f>IFERROR(__xludf.DUMMYFUNCTION("IFERROR(TEXTJOIN("", "", TRUE, FILTER(Ability!$I:$I, Ability!$A:$A = B8)), ""ไม่พบข้อมูล"")"),"On-Start: Gain 2 Thorn , On-Hit: Restore 1 HP ")</f>
        <v/>
      </c>
      <c r="K8" s="18">
        <f>SUMIF(Ability!$A:$A,B8,Ability!$G:$G)</f>
        <v/>
      </c>
      <c r="L8" s="18">
        <f>I8+K8+H8*Weights!$B$45</f>
        <v/>
      </c>
      <c r="M8" s="18">
        <f>VLOOKUP(C8,Weights!$A$4:$B$8,2,FALSE())</f>
        <v/>
      </c>
      <c r="N8" s="20">
        <f>L8-M8</f>
        <v/>
      </c>
    </row>
    <row r="9" ht="22.5" customHeight="1" s="50">
      <c r="A9" s="13" t="inlineStr">
        <is>
          <t>weapon-08</t>
        </is>
      </c>
      <c r="B9" s="38" t="inlineStr">
        <is>
          <t>Cloud Cutting Spoon</t>
        </is>
      </c>
      <c r="C9" s="21" t="inlineStr">
        <is>
          <t>Mythic</t>
        </is>
      </c>
      <c r="D9" s="21" t="inlineStr">
        <is>
          <t>Tempest</t>
        </is>
      </c>
      <c r="E9" s="17" t="n">
        <v>1</v>
      </c>
      <c r="F9" s="17" t="n">
        <v>0</v>
      </c>
      <c r="G9" s="17" t="n">
        <v>1</v>
      </c>
      <c r="H9" s="17" t="n">
        <v>0</v>
      </c>
      <c r="I9" s="18">
        <f>E9*Weights!$B$49+F9*Weights!$B$50+G9*Weights!$B$51</f>
        <v/>
      </c>
      <c r="J9" s="19">
        <f>IFERROR(__xludf.DUMMYFUNCTION("IFERROR(TEXTJOIN("", "", TRUE, FILTER(Ability!$I:$I, Ability!$A:$A = B9)), ""ไม่พบข้อมูล"")"),"On-Exposed: Gain 3 SPD ")</f>
        <v/>
      </c>
      <c r="K9" s="18">
        <f>SUMIF(Ability!$A:$A,B9,Ability!$G:$G)</f>
        <v/>
      </c>
      <c r="L9" s="18">
        <f>I9+K9+H9*Weights!$B$45</f>
        <v/>
      </c>
      <c r="M9" s="18">
        <f>VLOOKUP(C9,Weights!$A$4:$B$8,2,FALSE())</f>
        <v/>
      </c>
      <c r="N9" s="20">
        <f>L9-M9</f>
        <v/>
      </c>
    </row>
    <row r="10" ht="22.5" customHeight="1" s="50">
      <c r="A10" s="13" t="inlineStr">
        <is>
          <t>weapon-09</t>
        </is>
      </c>
      <c r="B10" s="38" t="inlineStr">
        <is>
          <t>Immortal Ladle</t>
        </is>
      </c>
      <c r="C10" s="21" t="inlineStr">
        <is>
          <t>Mythic</t>
        </is>
      </c>
      <c r="D10" s="21" t="inlineStr">
        <is>
          <t>Bravery</t>
        </is>
      </c>
      <c r="E10" s="17" t="n">
        <v>1</v>
      </c>
      <c r="F10" s="17" t="n">
        <v>0</v>
      </c>
      <c r="G10" s="17" t="n">
        <v>0</v>
      </c>
      <c r="H10" s="17" t="n">
        <v>0</v>
      </c>
      <c r="I10" s="18">
        <f>E10*Weights!$B$49+F10*Weights!$B$50+G10*Weights!$B$51</f>
        <v/>
      </c>
      <c r="J10" s="19">
        <f>IFERROR(__xludf.DUMMYFUNCTION("IFERROR(TEXTJOIN("", "", TRUE, FILTER(Ability!$I:$I, Ability!$A:$A = B10)), ""ไม่พบข้อมูล"")"),"On-Exposed: Gain 2 Armor , On-Exposed: Gain 5 DEF ")</f>
        <v/>
      </c>
      <c r="K10" s="18">
        <f>SUMIF(Ability!$A:$A,B10,Ability!$G:$G)</f>
        <v/>
      </c>
      <c r="L10" s="18">
        <f>I10+K10+H10*Weights!$B$45</f>
        <v/>
      </c>
      <c r="M10" s="18">
        <f>VLOOKUP(C10,Weights!$A$4:$B$8,2,FALSE())</f>
        <v/>
      </c>
      <c r="N10" s="20">
        <f>L10-M10</f>
        <v/>
      </c>
    </row>
    <row r="11" ht="22.5" customHeight="1" s="50">
      <c r="A11" s="13" t="inlineStr">
        <is>
          <t>weapon-10</t>
        </is>
      </c>
      <c r="B11" s="38" t="inlineStr">
        <is>
          <t>Darkness Apron</t>
        </is>
      </c>
      <c r="C11" s="21" t="inlineStr">
        <is>
          <t>Mythic</t>
        </is>
      </c>
      <c r="D11" s="21" t="inlineStr">
        <is>
          <t>Heavy</t>
        </is>
      </c>
      <c r="E11" s="17" t="n">
        <v>0</v>
      </c>
      <c r="F11" s="17" t="n">
        <v>6</v>
      </c>
      <c r="G11" s="17" t="n">
        <v>0</v>
      </c>
      <c r="H11" s="17" t="n">
        <v>1</v>
      </c>
      <c r="I11" s="18">
        <f>E11*Weights!$B$49+F11*Weights!$B$50+G11*Weights!$B$51</f>
        <v/>
      </c>
      <c r="J11" s="19">
        <f>IFERROR(__xludf.DUMMYFUNCTION("IFERROR(TEXTJOIN("", "", TRUE, FILTER(Ability!$I:$I, Ability!$A:$A = B11)), ""ไม่พบข้อมูล"")"),"On-Exposed: Gain 5 ATK ")</f>
        <v/>
      </c>
      <c r="K11" s="18">
        <f>SUMIF(Ability!$A:$A,B11,Ability!$G:$G)</f>
        <v/>
      </c>
      <c r="L11" s="18">
        <f>I11+K11+H11*Weights!$B$45</f>
        <v/>
      </c>
      <c r="M11" s="18">
        <f>VLOOKUP(C11,Weights!$A$4:$B$8,2,FALSE())</f>
        <v/>
      </c>
      <c r="N11" s="20">
        <f>L11-M11</f>
        <v/>
      </c>
    </row>
    <row r="12" ht="22.5" customHeight="1" s="50">
      <c r="A12" s="13" t="inlineStr">
        <is>
          <t>weapon-11</t>
        </is>
      </c>
      <c r="B12" s="38" t="inlineStr">
        <is>
          <t>Infinity Gloves</t>
        </is>
      </c>
      <c r="C12" s="21" t="inlineStr">
        <is>
          <t>Mythic</t>
        </is>
      </c>
      <c r="D12" s="21" t="inlineStr">
        <is>
          <t>Tempest</t>
        </is>
      </c>
      <c r="E12" s="17" t="n">
        <v>2</v>
      </c>
      <c r="F12" s="17" t="n">
        <v>0</v>
      </c>
      <c r="G12" s="17" t="n">
        <v>1</v>
      </c>
      <c r="H12" s="17" t="n">
        <v>0</v>
      </c>
      <c r="I12" s="18">
        <f>E12*Weights!$B$49+F12*Weights!$B$50+G12*Weights!$B$51</f>
        <v/>
      </c>
      <c r="J12" s="19">
        <f>IFERROR(__xludf.DUMMYFUNCTION("IFERROR(TEXTJOIN("", "", TRUE, FILTER(Ability!$I:$I, Ability!$A:$A = B12)), ""ไม่พบข้อมูล"")"),"On-Hit: Gain 1 ATK ")</f>
        <v/>
      </c>
      <c r="K12" s="18">
        <f>SUMIF(Ability!$A:$A,B12,Ability!$G:$G)</f>
        <v/>
      </c>
      <c r="L12" s="18">
        <f>I12+K12+H12*Weights!$B$45</f>
        <v/>
      </c>
      <c r="M12" s="18">
        <f>VLOOKUP(C12,Weights!$A$4:$B$8,2,FALSE())</f>
        <v/>
      </c>
      <c r="N12" s="20">
        <f>L12-M12</f>
        <v/>
      </c>
    </row>
    <row r="13" ht="22.5" customHeight="1" s="50">
      <c r="A13" s="13" t="inlineStr">
        <is>
          <t>weapon-12</t>
        </is>
      </c>
      <c r="B13" s="38" t="inlineStr">
        <is>
          <t>Bottomless Chef's Hat</t>
        </is>
      </c>
      <c r="C13" s="21" t="inlineStr">
        <is>
          <t>Mythic</t>
        </is>
      </c>
      <c r="D13" s="21" t="inlineStr">
        <is>
          <t>Heavy</t>
        </is>
      </c>
      <c r="E13" s="17" t="n">
        <v>0</v>
      </c>
      <c r="F13" s="17" t="n">
        <v>0</v>
      </c>
      <c r="G13" s="17" t="n">
        <v>2</v>
      </c>
      <c r="H13" s="17" t="n">
        <v>2</v>
      </c>
      <c r="I13" s="18">
        <f>E13*Weights!$B$49+F13*Weights!$B$50+G13*Weights!$B$51</f>
        <v/>
      </c>
      <c r="J13" s="19">
        <f>IFERROR(__xludf.DUMMYFUNCTION("IFERROR(TEXTJOIN("", "", TRUE, FILTER(Ability!$I:$I, Ability!$A:$A = B13)), ""ไม่พบข้อมูล"")"),"On-Hit: Convert 1 ATK (Speed)")</f>
        <v/>
      </c>
      <c r="K13" s="18">
        <f>SUMIF(Ability!$A:$A,B13,Ability!$G:$G)</f>
        <v/>
      </c>
      <c r="L13" s="18">
        <f>I13+K13+H13*Weights!$B$45</f>
        <v/>
      </c>
      <c r="M13" s="18">
        <f>VLOOKUP(C13,Weights!$A$4:$B$8,2,FALSE())</f>
        <v/>
      </c>
      <c r="N13" s="20">
        <f>L13-M13</f>
        <v/>
      </c>
    </row>
    <row r="14" ht="22.5" customHeight="1" s="50">
      <c r="A14" s="13" t="inlineStr">
        <is>
          <t>weapon-13</t>
        </is>
      </c>
      <c r="B14" s="38" t="inlineStr">
        <is>
          <t>Miracle Knife</t>
        </is>
      </c>
      <c r="C14" s="21" t="inlineStr">
        <is>
          <t>Mythic</t>
        </is>
      </c>
      <c r="D14" s="21" t="inlineStr">
        <is>
          <t>Ancient</t>
        </is>
      </c>
      <c r="E14" s="17" t="n">
        <v>2</v>
      </c>
      <c r="F14" s="17" t="n">
        <v>0</v>
      </c>
      <c r="G14" s="17" t="n">
        <v>2</v>
      </c>
      <c r="H14" s="17" t="n">
        <v>1</v>
      </c>
      <c r="I14" s="18">
        <f>E14*Weights!$B$49+F14*Weights!$B$50+G14*Weights!$B$51</f>
        <v/>
      </c>
      <c r="J14" s="19">
        <f>IFERROR(__xludf.DUMMYFUNCTION("IFERROR(TEXTJOIN("", "", TRUE, FILTER(Ability!$I:$I, Ability!$A:$A = B14)), ""ไม่พบข้อมูล"")"),"On-Half: Gain 1 Armor ")</f>
        <v/>
      </c>
      <c r="K14" s="18">
        <f>SUMIF(Ability!$A:$A,B14,Ability!$G:$G)</f>
        <v/>
      </c>
      <c r="L14" s="18">
        <f>I14+K14+H14*Weights!$B$45</f>
        <v/>
      </c>
      <c r="M14" s="18">
        <f>VLOOKUP(C14,Weights!$A$4:$B$8,2,FALSE())</f>
        <v/>
      </c>
      <c r="N14" s="20">
        <f>L14-M14</f>
        <v/>
      </c>
    </row>
    <row r="15" ht="22.5" customHeight="1" s="50">
      <c r="A15" s="13" t="n"/>
      <c r="B15" s="44" t="inlineStr">
        <is>
          <t>⟨ex⟩ Twin Ladle</t>
        </is>
      </c>
      <c r="C15" s="21" t="inlineStr">
        <is>
          <t>Mythic</t>
        </is>
      </c>
      <c r="D15" s="24" t="inlineStr">
        <is>
          <t>Bravery</t>
        </is>
      </c>
      <c r="E15" s="25" t="n">
        <v>0</v>
      </c>
      <c r="F15" s="25" t="n">
        <v>0</v>
      </c>
      <c r="G15" s="25" t="n">
        <v>2</v>
      </c>
      <c r="H15" s="25" t="n">
        <v>1</v>
      </c>
      <c r="I15" s="26">
        <f>E15*Weights!$B$49+F15*Weights!$B$50+G15*Weights!$B$51</f>
        <v/>
      </c>
      <c r="J15" s="19">
        <f>IFERROR(__xludf.DUMMYFUNCTION("IFERROR(TEXTJOIN("", "", TRUE, FILTER(Ability!$I:$I, Ability!$A:$A = B15)), ""ไม่พบข้อมูล"")"),"On-Hit: Gain 1 ATK , On-Half: Gain 3 Armor ")</f>
        <v/>
      </c>
      <c r="K15" s="26">
        <f>SUMIF(Ability!$A:$A,B15,Ability!$G:$G)</f>
        <v/>
      </c>
      <c r="L15" s="26">
        <f>I15+K15+H15*Weights!$B$45</f>
        <v/>
      </c>
      <c r="M15" s="26">
        <f>VLOOKUP(C15,Weights!$A$4:$B$8,2,FALSE())</f>
        <v/>
      </c>
      <c r="N15" s="27">
        <f>L15-M15</f>
        <v/>
      </c>
    </row>
    <row r="16" ht="22.5" customHeight="1" s="50">
      <c r="A16" s="13" t="n"/>
      <c r="B16" s="38" t="inlineStr">
        <is>
          <t>Golden pan</t>
        </is>
      </c>
      <c r="C16" s="21" t="inlineStr">
        <is>
          <t>Mythic</t>
        </is>
      </c>
      <c r="D16" s="21" t="inlineStr">
        <is>
          <t>Bravery</t>
        </is>
      </c>
      <c r="E16" s="17" t="n">
        <v>0</v>
      </c>
      <c r="F16" s="17" t="n">
        <v>0</v>
      </c>
      <c r="G16" s="17" t="n">
        <v>0</v>
      </c>
      <c r="H16" s="17" t="n">
        <v>0</v>
      </c>
      <c r="I16" s="18">
        <f>E16*Weights!$B$49+F16*Weights!$B$50+G16*Weights!$B$51</f>
        <v/>
      </c>
      <c r="J16" s="19">
        <f>IFERROR(__xludf.DUMMYFUNCTION("IFERROR(TEXTJOIN("", "", TRUE, FILTER(Ability!$I:$I, Ability!$A:$A = B16)), ""ไม่พบข้อมูล"")"),"On-Start: Gain Scaling MAX HP ")</f>
        <v/>
      </c>
      <c r="K16" s="18">
        <f>SUMIF(Ability!$A:$A,B16,Ability!$G:$G)</f>
        <v/>
      </c>
      <c r="L16" s="18">
        <f>I16+K16+H16*Weights!$B$45</f>
        <v/>
      </c>
      <c r="M16" s="18">
        <f>VLOOKUP(C16,Weights!$A$4:$B$8,2,FALSE())</f>
        <v/>
      </c>
      <c r="N16" s="20">
        <f>L16-M16</f>
        <v/>
      </c>
    </row>
    <row r="17" ht="22.5" customHeight="1" s="50">
      <c r="A17" s="13" t="n"/>
      <c r="B17" s="38" t="inlineStr">
        <is>
          <t>Surya Dough Kneader</t>
        </is>
      </c>
      <c r="C17" s="21" t="inlineStr">
        <is>
          <t>Mythic</t>
        </is>
      </c>
      <c r="D17" s="21" t="inlineStr">
        <is>
          <t>Bravery</t>
        </is>
      </c>
      <c r="E17" s="17" t="n">
        <v>3</v>
      </c>
      <c r="F17" s="17" t="n">
        <v>0</v>
      </c>
      <c r="G17" s="17" t="n">
        <v>2</v>
      </c>
      <c r="H17" s="17" t="n">
        <v>0</v>
      </c>
      <c r="I17" s="18">
        <f>E17*Weights!$B$49+F17*Weights!$B$50+G17*Weights!$B$51</f>
        <v/>
      </c>
      <c r="J17" s="19">
        <f>IFERROR(__xludf.DUMMYFUNCTION("IFERROR(TEXTJOIN("", "", TRUE, FILTER(Ability!$I:$I, Ability!$A:$A = B17)), ""ไม่พบข้อมูล"")"),"On-Hit: Restore 2 HP ")</f>
        <v/>
      </c>
      <c r="K17" s="18">
        <f>SUMIF(Ability!$A:$A,B17,Ability!$G:$G)</f>
        <v/>
      </c>
      <c r="L17" s="18">
        <f>I17+K17+H17*Weights!$B$45</f>
        <v/>
      </c>
      <c r="M17" s="18">
        <f>VLOOKUP(C17,Weights!$A$4:$B$8,2,FALSE())</f>
        <v/>
      </c>
      <c r="N17" s="20">
        <f>L17-M17</f>
        <v/>
      </c>
    </row>
    <row r="18" ht="22.5" customHeight="1" s="50">
      <c r="A18" s="13" t="n"/>
      <c r="B18" s="38" t="inlineStr">
        <is>
          <t>The Great Microwave</t>
        </is>
      </c>
      <c r="C18" s="21" t="inlineStr">
        <is>
          <t>Mythic</t>
        </is>
      </c>
      <c r="D18" s="21" t="inlineStr">
        <is>
          <t>Ancient</t>
        </is>
      </c>
      <c r="E18" s="17" t="n">
        <v>3</v>
      </c>
      <c r="F18" s="17" t="n">
        <v>12</v>
      </c>
      <c r="G18" s="17" t="n">
        <v>0</v>
      </c>
      <c r="H18" s="17" t="n">
        <v>1</v>
      </c>
      <c r="I18" s="18">
        <f>E18*Weights!$B$49+F18*Weights!$B$50+G18*Weights!$B$51</f>
        <v/>
      </c>
      <c r="J18" s="19">
        <f>IFERROR(__xludf.DUMMYFUNCTION("IFERROR(TEXTJOIN("", "", TRUE, FILTER(Ability!$I:$I, Ability!$A:$A = B18)), ""ไม่พบข้อมูล"")"),"ไม่พบข้อมูล")</f>
        <v/>
      </c>
      <c r="K18" s="18">
        <f>SUMIF(Ability!$A:$A,B18,Ability!$G:$G)</f>
        <v/>
      </c>
      <c r="L18" s="18">
        <f>I18+K18+H18*Weights!$B$45</f>
        <v/>
      </c>
      <c r="M18" s="18">
        <f>VLOOKUP(C18,Weights!$A$4:$B$8,2,FALSE())</f>
        <v/>
      </c>
      <c r="N18" s="20">
        <f>L18-M18</f>
        <v/>
      </c>
    </row>
    <row r="19" ht="22.5" customHeight="1" s="50">
      <c r="A19" s="13" t="n"/>
      <c r="B19" s="38" t="inlineStr">
        <is>
          <t>Dragon Bone Ladle</t>
        </is>
      </c>
      <c r="C19" s="21" t="inlineStr">
        <is>
          <t>Mythic</t>
        </is>
      </c>
      <c r="D19" s="21" t="inlineStr">
        <is>
          <t>Heavy</t>
        </is>
      </c>
      <c r="E19" s="17" t="n">
        <v>4</v>
      </c>
      <c r="F19" s="17" t="n">
        <v>4</v>
      </c>
      <c r="G19" s="17" t="n">
        <v>3</v>
      </c>
      <c r="H19" s="17" t="n">
        <v>2</v>
      </c>
      <c r="I19" s="18">
        <f>E19*Weights!$B$49+F19*Weights!$B$50+G19*Weights!$B$51</f>
        <v/>
      </c>
      <c r="J19" s="19">
        <f>IFERROR(__xludf.DUMMYFUNCTION("IFERROR(TEXTJOIN("", "", TRUE, FILTER(Ability!$I:$I, Ability!$A:$A = B19)), ""ไม่พบข้อมูล"")"),"ไม่พบข้อมูล")</f>
        <v/>
      </c>
      <c r="K19" s="18">
        <f>SUMIF(Ability!$A:$A,B19,Ability!$G:$G)</f>
        <v/>
      </c>
      <c r="L19" s="18">
        <f>I19+K19+H19*Weights!$B$45</f>
        <v/>
      </c>
      <c r="M19" s="18">
        <f>VLOOKUP(C19,Weights!$A$4:$B$8,2,FALSE())</f>
        <v/>
      </c>
      <c r="N19" s="20">
        <f>L19-M19</f>
        <v/>
      </c>
    </row>
    <row r="20" ht="22.5" customHeight="1" s="50">
      <c r="A20" s="13" t="n"/>
      <c r="B20" s="38" t="inlineStr">
        <is>
          <t>Emperor Knife</t>
        </is>
      </c>
      <c r="C20" s="21" t="inlineStr">
        <is>
          <t>Mythic</t>
        </is>
      </c>
      <c r="D20" s="21" t="inlineStr">
        <is>
          <t>Ancient</t>
        </is>
      </c>
      <c r="E20" s="17" t="n">
        <v>4</v>
      </c>
      <c r="F20" s="17" t="n">
        <v>0</v>
      </c>
      <c r="G20" s="17" t="n">
        <v>2</v>
      </c>
      <c r="H20" s="17" t="n">
        <v>0</v>
      </c>
      <c r="I20" s="18">
        <f>E20*Weights!$B$49+F20*Weights!$B$50+G20*Weights!$B$51</f>
        <v/>
      </c>
      <c r="J20" s="19">
        <f>IFERROR(__xludf.DUMMYFUNCTION("IFERROR(TEXTJOIN("", "", TRUE, FILTER(Ability!$I:$I, Ability!$A:$A = B20)), ""ไม่พบข้อมูล"")"),"On-Damaged: Convert 1 ATK ")</f>
        <v/>
      </c>
      <c r="K20" s="18">
        <f>SUMIF(Ability!$A:$A,B20,Ability!$G:$G)</f>
        <v/>
      </c>
      <c r="L20" s="18">
        <f>I20+K20+H20*Weights!$B$45</f>
        <v/>
      </c>
      <c r="M20" s="18">
        <f>VLOOKUP(C20,Weights!$A$4:$B$8,2,FALSE())</f>
        <v/>
      </c>
      <c r="N20" s="20">
        <f>L20-M20</f>
        <v/>
      </c>
    </row>
    <row r="21" ht="15.75" customHeight="1" s="50">
      <c r="A21" s="13" t="n"/>
      <c r="B21" s="38" t="inlineStr">
        <is>
          <t>Gaint Fork</t>
        </is>
      </c>
      <c r="C21" s="21" t="inlineStr">
        <is>
          <t>Mythic</t>
        </is>
      </c>
      <c r="D21" s="21" t="inlineStr">
        <is>
          <t>Tempest</t>
        </is>
      </c>
      <c r="E21" s="17" t="n">
        <v>6</v>
      </c>
      <c r="F21" s="17" t="n">
        <v>4</v>
      </c>
      <c r="G21" s="17" t="n">
        <v>0</v>
      </c>
      <c r="H21" s="17" t="n">
        <v>0</v>
      </c>
      <c r="I21" s="18">
        <f>E21*Weights!$B$49+F21*Weights!$B$50+G21*Weights!$B$51</f>
        <v/>
      </c>
      <c r="J21" s="19">
        <f>IFERROR(__xludf.DUMMYFUNCTION("IFERROR(TEXTJOIN("", "", TRUE, FILTER(Ability!$I:$I, Ability!$A:$A = B21)), ""ไม่พบข้อมูล"")"),"Special: Convert 1 SPD ")</f>
        <v/>
      </c>
      <c r="K21" s="18">
        <f>SUMIF(Ability!$A:$A,B21,Ability!$G:$G)</f>
        <v/>
      </c>
      <c r="L21" s="18">
        <f>I21+K21+H21*Weights!$B$45</f>
        <v/>
      </c>
      <c r="M21" s="18">
        <f>VLOOKUP(C21,Weights!$A$4:$B$8,2,FALSE())</f>
        <v/>
      </c>
      <c r="N21" s="20">
        <f>L21-M21</f>
        <v/>
      </c>
    </row>
    <row r="22" ht="15.75" customHeight="1" s="50">
      <c r="A22" s="13" t="n"/>
      <c r="B22" s="38" t="inlineStr">
        <is>
          <t>Maid Apron</t>
        </is>
      </c>
      <c r="C22" s="21" t="inlineStr">
        <is>
          <t>Mythic</t>
        </is>
      </c>
      <c r="D22" s="21" t="inlineStr">
        <is>
          <t>Humble</t>
        </is>
      </c>
      <c r="E22" s="17" t="n">
        <v>3</v>
      </c>
      <c r="F22" s="17" t="n">
        <v>5</v>
      </c>
      <c r="G22" s="17" t="n">
        <v>0</v>
      </c>
      <c r="H22" s="17" t="n">
        <v>1</v>
      </c>
      <c r="I22" s="18">
        <f>E22*Weights!$B$49+F22*Weights!$B$50+G22*Weights!$B$51</f>
        <v/>
      </c>
      <c r="J22" s="19">
        <f>IFERROR(__xludf.DUMMYFUNCTION("IFERROR(TEXTJOIN("", "", TRUE, FILTER(Ability!$I:$I, Ability!$A:$A = B22)), ""ไม่พบข้อมูล"")"),"Special: Gain 1 Armor ")</f>
        <v/>
      </c>
      <c r="K22" s="18">
        <f>SUMIF(Ability!$A:$A,B22,Ability!$G:$G)</f>
        <v/>
      </c>
      <c r="L22" s="18">
        <f>I22+K22+H22*Weights!$B$45</f>
        <v/>
      </c>
      <c r="M22" s="18">
        <f>VLOOKUP(C22,Weights!$A$4:$B$8,2,FALSE())</f>
        <v/>
      </c>
      <c r="N22" s="20">
        <f>L22-M22</f>
        <v/>
      </c>
    </row>
    <row r="23" ht="15.75" customHeight="1" s="50">
      <c r="A23" s="13" t="n"/>
      <c r="B23" s="38" t="inlineStr">
        <is>
          <t>Peem</t>
        </is>
      </c>
      <c r="C23" s="21" t="inlineStr">
        <is>
          <t>Mythic</t>
        </is>
      </c>
      <c r="D23" s="21" t="inlineStr">
        <is>
          <t>Humble</t>
        </is>
      </c>
      <c r="E23" s="17" t="n">
        <v>5</v>
      </c>
      <c r="F23" s="17" t="n">
        <v>5</v>
      </c>
      <c r="G23" s="17" t="n">
        <v>1</v>
      </c>
      <c r="H23" s="17" t="n">
        <v>2</v>
      </c>
      <c r="I23" s="18">
        <f>E23*Weights!$B$49+F23*Weights!$B$50+G23*Weights!$B$51</f>
        <v/>
      </c>
      <c r="J23" s="19">
        <f>IFERROR(__xludf.DUMMYFUNCTION("IFERROR(TEXTJOIN("", "", TRUE, FILTER(Ability!$I:$I, Ability!$A:$A = B23)), ""ไม่พบข้อมูล"")"),"ไม่พบข้อมูล")</f>
        <v/>
      </c>
      <c r="K23" s="18">
        <f>SUMIF(Ability!$A:$A,B23,Ability!$G:$G)</f>
        <v/>
      </c>
      <c r="L23" s="18">
        <f>I23+K23+H23*Weights!$B$45</f>
        <v/>
      </c>
      <c r="M23" s="18">
        <f>VLOOKUP(C23,Weights!$A$4:$B$8,2,FALSE())</f>
        <v/>
      </c>
      <c r="N23" s="20">
        <f>L23-M23</f>
        <v/>
      </c>
    </row>
    <row r="24" ht="15.75" customHeight="1" s="50">
      <c r="A24" t="inlineStr">
        <is>
          <t>weapon-23</t>
        </is>
      </c>
      <c r="B24" t="inlineStr">
        <is>
          <t>Cast Iron Lid</t>
        </is>
      </c>
      <c r="C24" t="inlineStr">
        <is>
          <t>Rare</t>
        </is>
      </c>
      <c r="D24" t="inlineStr">
        <is>
          <t>Heavy</t>
        </is>
      </c>
      <c r="E24" t="n">
        <v>2</v>
      </c>
      <c r="F24" t="n">
        <v>4</v>
      </c>
      <c r="G24" t="n">
        <v>1</v>
      </c>
      <c r="H24" t="n">
        <v>0</v>
      </c>
      <c r="I24">
        <f>E24*Weights!$B$49+F24*Weights!$B$50+G24*Weights!$B$51</f>
        <v/>
      </c>
    </row>
    <row r="25" ht="15.75" customHeight="1" s="50">
      <c r="A25" t="inlineStr">
        <is>
          <t>weapon-24</t>
        </is>
      </c>
      <c r="B25" t="inlineStr">
        <is>
          <t>Butcher Cleaver</t>
        </is>
      </c>
      <c r="C25" t="inlineStr">
        <is>
          <t>Legend</t>
        </is>
      </c>
      <c r="D25" t="inlineStr">
        <is>
          <t>Heavy</t>
        </is>
      </c>
      <c r="E25" t="n">
        <v>4</v>
      </c>
      <c r="F25" t="n">
        <v>3</v>
      </c>
      <c r="G25" t="n">
        <v>2</v>
      </c>
      <c r="H25" t="n">
        <v>0</v>
      </c>
      <c r="I25">
        <f>E25*Weights!$B$49+F25*Weights!$B$50+G25*Weights!$B$51</f>
        <v/>
      </c>
    </row>
    <row r="26" ht="15.75" customHeight="1" s="50">
      <c r="A26" t="inlineStr">
        <is>
          <t>weapon-25</t>
        </is>
      </c>
      <c r="B26" t="inlineStr">
        <is>
          <t>Titan Stone Mortar</t>
        </is>
      </c>
      <c r="C26" t="inlineStr">
        <is>
          <t>Mythic</t>
        </is>
      </c>
      <c r="D26" t="inlineStr">
        <is>
          <t>Heavy</t>
        </is>
      </c>
      <c r="E26" t="n">
        <v>5</v>
      </c>
      <c r="F26" t="n">
        <v>4</v>
      </c>
      <c r="G26" t="n">
        <v>1</v>
      </c>
      <c r="H26" t="n">
        <v>0</v>
      </c>
      <c r="I26">
        <f>E26*Weights!$B$49+F26*Weights!$B$50+G26*Weights!$B$51</f>
        <v/>
      </c>
    </row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conditionalFormatting sqref="N2:N2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 count="3">
    <dataValidation sqref="C2:C23" showDropDown="0" showInputMessage="0" showErrorMessage="0" allowBlank="1" type="list">
      <formula1>"Common,Rare,Epic,Legend,Mythic"</formula1>
    </dataValidation>
    <dataValidation sqref="D2:D23" showDropDown="1" showInputMessage="0" showErrorMessage="1" allowBlank="1" type="list">
      <formula1>"Humble,Tempest,Bravery,Heavy,Ancient"</formula1>
    </dataValidation>
    <dataValidation sqref="E2:I23 K2:N23" showDropDown="1" showInputMessage="0" showErrorMessage="0" allowBlank="1" type="custom">
      <formula1>AND(ISNUMBER(E2),(NOT(OR(NOT(ISERROR(DATEVALUE(E2))), AND(ISNUMBER(E2), LEFT(CELL("format", E2))="D")))))</formula1>
    </dataValidation>
  </dataValidations>
  <pageMargins left="0.75" right="0.75" top="1" bottom="1" header="0" footer="0"/>
  <pageSetup orientation="portrait" paperSize="9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1"/>
    <col width="20.57" customWidth="1" style="50" min="2" max="2"/>
    <col width="15.57" customWidth="1" style="50" min="3" max="3"/>
    <col width="11" customWidth="1" style="50" min="4" max="4"/>
    <col width="10.86" customWidth="1" style="50" min="5" max="5"/>
    <col width="12" customWidth="1" style="50" min="6" max="7"/>
    <col width="15.14" customWidth="1" style="50" min="8" max="8"/>
    <col width="34" customWidth="1" style="50" min="9" max="9"/>
    <col width="19.71" customWidth="1" style="50" min="10" max="10"/>
    <col width="8.710000000000001" customWidth="1" style="50" min="11" max="26"/>
  </cols>
  <sheetData>
    <row r="1">
      <c r="A1" s="30" t="inlineStr">
        <is>
          <t>Weapon</t>
        </is>
      </c>
      <c r="B1" s="29" t="inlineStr">
        <is>
          <t>Trigger</t>
        </is>
      </c>
      <c r="C1" s="29" t="inlineStr">
        <is>
          <t>Keyword</t>
        </is>
      </c>
      <c r="D1" s="30" t="inlineStr">
        <is>
          <t>Target</t>
        </is>
      </c>
      <c r="E1" s="30" t="inlineStr">
        <is>
          <t>Magnitude</t>
        </is>
      </c>
      <c r="F1" s="30" t="inlineStr">
        <is>
          <t>Effect Sign</t>
        </is>
      </c>
      <c r="G1" s="30" t="inlineStr">
        <is>
          <t>Effect Value</t>
        </is>
      </c>
      <c r="H1" s="30" t="inlineStr">
        <is>
          <t>Lane</t>
        </is>
      </c>
      <c r="I1" s="30" t="inlineStr">
        <is>
          <t>Effect</t>
        </is>
      </c>
      <c r="J1" s="30" t="inlineStr">
        <is>
          <t>หมายเหตุ</t>
        </is>
      </c>
    </row>
    <row r="2">
      <c r="A2" s="38" t="inlineStr">
        <is>
          <t>Frying pan</t>
        </is>
      </c>
      <c r="B2" s="33" t="inlineStr">
        <is>
          <t>On-Exposed</t>
        </is>
      </c>
      <c r="C2" s="33" t="inlineStr">
        <is>
          <t>Gain</t>
        </is>
      </c>
      <c r="D2" s="35" t="inlineStr">
        <is>
          <t>DEF</t>
        </is>
      </c>
      <c r="E2" s="35" t="n">
        <v>2</v>
      </c>
      <c r="F2" s="35" t="inlineStr">
        <is>
          <t>Positive</t>
        </is>
      </c>
      <c r="G2" s="36">
        <f>VLOOKUP(B2,Weights!$A$12:$B$18,2,FALSE())*VLOOKUP(C2,Weights!$A$22:$B$25,2,FALSE())*VLOOKUP(E2,Weights!$A$29:$B$35,2,FALSE())*VLOOKUP(D2,Weights!$A$54:$B$62,2,FALSE())*(-1)*VLOOKUP(F2,Weights!$A$39:$B$41,2,FALSE())</f>
        <v/>
      </c>
      <c r="H2" s="35" t="inlineStr">
        <is>
          <t>Passive</t>
        </is>
      </c>
      <c r="I2" s="37">
        <f>B2 &amp; ": " &amp; C2 &amp; " " &amp; E2 &amp; " "  &amp; D2 &amp; " " &amp; J2</f>
        <v/>
      </c>
    </row>
    <row r="3">
      <c r="A3" s="38" t="inlineStr">
        <is>
          <t>Broken Plate</t>
        </is>
      </c>
      <c r="B3" s="33" t="inlineStr">
        <is>
          <t>On-Half</t>
        </is>
      </c>
      <c r="C3" s="33" t="inlineStr">
        <is>
          <t>Gain</t>
        </is>
      </c>
      <c r="D3" s="35" t="inlineStr">
        <is>
          <t>ATK</t>
        </is>
      </c>
      <c r="E3" s="35" t="n">
        <v>2</v>
      </c>
      <c r="F3" s="35" t="inlineStr">
        <is>
          <t>Positive</t>
        </is>
      </c>
      <c r="G3" s="36">
        <f>VLOOKUP(B3,Weights!$A$12:$B$18,2,FALSE())*VLOOKUP(C3,Weights!$A$22:$B$25,2,FALSE())*VLOOKUP(E3,Weights!$A$29:$B$35,2,FALSE())*VLOOKUP(D3,Weights!$A$54:$B$62,2,FALSE())*(-1)*VLOOKUP(F3,Weights!$A$39:$B$41,2,FALSE())</f>
        <v/>
      </c>
      <c r="H3" s="35" t="inlineStr">
        <is>
          <t>Passive</t>
        </is>
      </c>
      <c r="I3" s="37">
        <f>B3 &amp; ": " &amp; C3 &amp; " " &amp; E3 &amp; " " &amp; D3 &amp; " " &amp; J3</f>
        <v/>
      </c>
    </row>
    <row r="4">
      <c r="A4" s="38" t="inlineStr">
        <is>
          <t>Mortar and Pestle</t>
        </is>
      </c>
      <c r="B4" s="33" t="inlineStr">
        <is>
          <t>On-Half</t>
        </is>
      </c>
      <c r="C4" s="33" t="inlineStr">
        <is>
          <t>Restore</t>
        </is>
      </c>
      <c r="D4" s="35" t="inlineStr">
        <is>
          <t>HP</t>
        </is>
      </c>
      <c r="E4" s="35" t="n">
        <v>5</v>
      </c>
      <c r="F4" s="35" t="inlineStr">
        <is>
          <t>Positive</t>
        </is>
      </c>
      <c r="G4" s="36">
        <f>VLOOKUP(B4,Weights!$A$12:$B$18,2,FALSE())*VLOOKUP(C4,Weights!$A$22:$B$25,2,FALSE())*VLOOKUP(E4,Weights!$A$29:$B$35,2,FALSE())*VLOOKUP(D4,Weights!$A$54:$B$62,2,FALSE())*(-1)*VLOOKUP(F4,Weights!$A$39:$B$41,2,FALSE())</f>
        <v/>
      </c>
      <c r="H4" s="35" t="inlineStr">
        <is>
          <t>Passive</t>
        </is>
      </c>
      <c r="I4" s="37">
        <f>B4 &amp; ": " &amp; C4 &amp; " " &amp; E4 &amp; " " &amp; D4 &amp; " " &amp; J4</f>
        <v/>
      </c>
    </row>
    <row r="5">
      <c r="A5" s="38" t="inlineStr">
        <is>
          <t>Spirit Fork</t>
        </is>
      </c>
      <c r="B5" s="33" t="inlineStr">
        <is>
          <t>On-Hit</t>
        </is>
      </c>
      <c r="C5" s="33" t="inlineStr">
        <is>
          <t>Gain</t>
        </is>
      </c>
      <c r="D5" s="35" t="inlineStr">
        <is>
          <t>ATK</t>
        </is>
      </c>
      <c r="E5" s="35" t="n">
        <v>-1</v>
      </c>
      <c r="F5" s="35" t="inlineStr">
        <is>
          <t>Positive</t>
        </is>
      </c>
      <c r="G5" s="36">
        <f>VLOOKUP(B5,Weights!$A$12:$B$18,2,FALSE())*VLOOKUP(C5,Weights!$A$22:$B$25,2,FALSE())*VLOOKUP(E5,Weights!$A$29:$B$35,2,FALSE())*VLOOKUP(D5,Weights!$A$54:$B$62,2,FALSE())*(-1)*VLOOKUP(F5,Weights!$A$39:$B$41,2,FALSE())</f>
        <v/>
      </c>
      <c r="H5" s="35" t="inlineStr">
        <is>
          <t>Action</t>
        </is>
      </c>
      <c r="I5" s="37">
        <f>B5 &amp; ": " &amp; C5 &amp; " " &amp; E5 &amp; " " &amp; D5 &amp; " " &amp; J5</f>
        <v/>
      </c>
    </row>
    <row r="6">
      <c r="A6" s="38" t="inlineStr">
        <is>
          <t>Chopping Board</t>
        </is>
      </c>
      <c r="B6" s="33" t="inlineStr">
        <is>
          <t>On-Hit</t>
        </is>
      </c>
      <c r="C6" s="33" t="inlineStr">
        <is>
          <t>Gain</t>
        </is>
      </c>
      <c r="D6" s="35" t="inlineStr">
        <is>
          <t>DEF</t>
        </is>
      </c>
      <c r="E6" s="35" t="n">
        <v>2</v>
      </c>
      <c r="F6" s="35" t="inlineStr">
        <is>
          <t>Positive</t>
        </is>
      </c>
      <c r="G6" s="36">
        <f>VLOOKUP(B6,Weights!$A$12:$B$18,2,FALSE())*VLOOKUP(C6,Weights!$A$22:$B$25,2,FALSE())*VLOOKUP(E6,Weights!$A$29:$B$35,2,FALSE())*VLOOKUP(D6,Weights!$A$54:$B$62,2,FALSE())*(-1)*VLOOKUP(F6,Weights!$A$39:$B$41,2,FALSE())</f>
        <v/>
      </c>
      <c r="H6" s="35" t="inlineStr">
        <is>
          <t>Action</t>
        </is>
      </c>
      <c r="I6" s="37">
        <f>B6 &amp; ": " &amp; C6 &amp; " " &amp; E6 &amp; " " &amp; D6 &amp; " " &amp; J6</f>
        <v/>
      </c>
    </row>
    <row r="7">
      <c r="A7" s="38" t="inlineStr">
        <is>
          <t>Windmill Spatula</t>
        </is>
      </c>
      <c r="B7" s="33" t="inlineStr">
        <is>
          <t>On-Start</t>
        </is>
      </c>
      <c r="C7" s="33" t="inlineStr">
        <is>
          <t>Gain</t>
        </is>
      </c>
      <c r="D7" s="35" t="inlineStr">
        <is>
          <t>Thorn</t>
        </is>
      </c>
      <c r="E7" s="35" t="n">
        <v>2</v>
      </c>
      <c r="F7" s="35" t="inlineStr">
        <is>
          <t>Positive</t>
        </is>
      </c>
      <c r="G7" s="36">
        <f>VLOOKUP(B7,Weights!$A$12:$B$18,2,FALSE())*VLOOKUP(C7,Weights!$A$22:$B$25,2,FALSE())*VLOOKUP(E7,Weights!$A$29:$B$35,2,FALSE())*VLOOKUP(D7,Weights!$A$54:$B$62,2,FALSE())*(-1)*VLOOKUP(F7,Weights!$A$39:$B$41,2,FALSE())</f>
        <v/>
      </c>
      <c r="H7" s="35" t="inlineStr">
        <is>
          <t>Passive</t>
        </is>
      </c>
      <c r="I7" s="37">
        <f>B7 &amp; ": " &amp; C7 &amp; " " &amp; E7 &amp; " " &amp; D7 &amp; " " &amp; J7</f>
        <v/>
      </c>
    </row>
    <row r="8">
      <c r="A8" s="38" t="inlineStr">
        <is>
          <t>Windmill Spatula</t>
        </is>
      </c>
      <c r="B8" s="33" t="inlineStr">
        <is>
          <t>On-Hit</t>
        </is>
      </c>
      <c r="C8" s="33" t="inlineStr">
        <is>
          <t>Restore</t>
        </is>
      </c>
      <c r="D8" s="35" t="inlineStr">
        <is>
          <t>HP</t>
        </is>
      </c>
      <c r="E8" s="35" t="n">
        <v>1</v>
      </c>
      <c r="F8" s="35" t="inlineStr">
        <is>
          <t>Positive</t>
        </is>
      </c>
      <c r="G8" s="36">
        <f>VLOOKUP(B8,Weights!$A$12:$B$18,2,FALSE())*VLOOKUP(C8,Weights!$A$22:$B$25,2,FALSE())*VLOOKUP(E8,Weights!$A$29:$B$35,2,FALSE())*VLOOKUP(D8,Weights!$A$54:$B$62,2,FALSE())*(-1)*VLOOKUP(F8,Weights!$A$39:$B$41,2,FALSE())</f>
        <v/>
      </c>
      <c r="H8" s="35" t="inlineStr">
        <is>
          <t>Passive</t>
        </is>
      </c>
      <c r="I8" s="37">
        <f>B8 &amp; ": " &amp; C8 &amp; " " &amp; E8 &amp; " " &amp; D8 &amp; " " &amp; J8</f>
        <v/>
      </c>
    </row>
    <row r="9">
      <c r="A9" s="38" t="inlineStr">
        <is>
          <t>Cloud Cutting Spoon</t>
        </is>
      </c>
      <c r="B9" s="33" t="inlineStr">
        <is>
          <t>On-Exposed</t>
        </is>
      </c>
      <c r="C9" s="33" t="inlineStr">
        <is>
          <t>Gain</t>
        </is>
      </c>
      <c r="D9" s="35" t="inlineStr">
        <is>
          <t>SPD</t>
        </is>
      </c>
      <c r="E9" s="35" t="n">
        <v>2</v>
      </c>
      <c r="F9" s="35" t="inlineStr">
        <is>
          <t>Positive</t>
        </is>
      </c>
      <c r="G9" s="36">
        <f>VLOOKUP(B9,Weights!$A$12:$B$18,2,FALSE())*VLOOKUP(C9,Weights!$A$22:$B$25,2,FALSE())*VLOOKUP(E9,Weights!$A$29:$B$35,2,FALSE())*VLOOKUP(D9,Weights!$A$54:$B$62,2,FALSE())*(-1)*VLOOKUP(F9,Weights!$A$39:$B$41,2,FALSE())</f>
        <v/>
      </c>
      <c r="H9" s="35" t="inlineStr">
        <is>
          <t>Passive</t>
        </is>
      </c>
      <c r="I9" s="37">
        <f>B9 &amp; ": " &amp; C9 &amp; " " &amp; E9 &amp; " " &amp; D9 &amp; " " &amp; J9</f>
        <v/>
      </c>
    </row>
    <row r="10">
      <c r="A10" s="38" t="inlineStr">
        <is>
          <t>Darkness Apron</t>
        </is>
      </c>
      <c r="B10" s="33" t="inlineStr">
        <is>
          <t>On-Exposed</t>
        </is>
      </c>
      <c r="C10" s="33" t="inlineStr">
        <is>
          <t>Gain</t>
        </is>
      </c>
      <c r="D10" s="35" t="inlineStr">
        <is>
          <t>ATK</t>
        </is>
      </c>
      <c r="E10" s="35" t="n">
        <v>5</v>
      </c>
      <c r="F10" s="35" t="inlineStr">
        <is>
          <t>Positive</t>
        </is>
      </c>
      <c r="G10" s="36">
        <f>VLOOKUP(B10,Weights!$A$12:$B$18,2,FALSE())*VLOOKUP(C10,Weights!$A$22:$B$25,2,FALSE())*VLOOKUP(E10,Weights!$A$29:$B$35,2,FALSE())*VLOOKUP(D10,Weights!$A$54:$B$62,2,FALSE())*(-1)*VLOOKUP(F10,Weights!$A$39:$B$41,2,FALSE())</f>
        <v/>
      </c>
      <c r="H10" s="35" t="inlineStr">
        <is>
          <t>Passive</t>
        </is>
      </c>
      <c r="I10" s="37">
        <f>B10 &amp; ": " &amp; C10 &amp; " " &amp; E10 &amp; " " &amp; D10 &amp; " " &amp; J10</f>
        <v/>
      </c>
    </row>
    <row r="11">
      <c r="A11" s="38" t="inlineStr">
        <is>
          <t>Bottomless Chef's Hat</t>
        </is>
      </c>
      <c r="B11" s="33" t="inlineStr">
        <is>
          <t>On-Hit</t>
        </is>
      </c>
      <c r="C11" s="33" t="inlineStr">
        <is>
          <t>Convert</t>
        </is>
      </c>
      <c r="D11" s="35" t="inlineStr">
        <is>
          <t>ATK</t>
        </is>
      </c>
      <c r="E11" s="35" t="n">
        <v>1</v>
      </c>
      <c r="F11" s="35" t="inlineStr">
        <is>
          <t>Positive</t>
        </is>
      </c>
      <c r="G11" s="36">
        <f>VLOOKUP(B11,Weights!$A$12:$B$18,2,FALSE())*VLOOKUP(C11,Weights!$A$22:$B$25,2,FALSE())*VLOOKUP(E11,Weights!$A$29:$B$35,2,FALSE())*VLOOKUP(D11,Weights!$A$54:$B$62,2,FALSE())*(-1)*VLOOKUP(F11,Weights!$A$39:$B$41,2,FALSE())</f>
        <v/>
      </c>
      <c r="H11" s="35" t="inlineStr">
        <is>
          <t>Action</t>
        </is>
      </c>
      <c r="I11" s="37">
        <f>B11 &amp; ": " &amp; C11 &amp; " " &amp; E11 &amp; " " &amp; D11 &amp; " " &amp; J11</f>
        <v/>
      </c>
      <c r="J11" s="39" t="inlineStr">
        <is>
          <t>(Speed)</t>
        </is>
      </c>
    </row>
    <row r="12">
      <c r="A12" s="38" t="inlineStr">
        <is>
          <t>Miracle Knife</t>
        </is>
      </c>
      <c r="B12" s="33" t="inlineStr">
        <is>
          <t>On-Half</t>
        </is>
      </c>
      <c r="C12" s="33" t="inlineStr">
        <is>
          <t>Gain</t>
        </is>
      </c>
      <c r="D12" s="35" t="inlineStr">
        <is>
          <t>Armor</t>
        </is>
      </c>
      <c r="E12" s="35" t="n">
        <v>2</v>
      </c>
      <c r="F12" s="35" t="inlineStr">
        <is>
          <t>Positive</t>
        </is>
      </c>
      <c r="G12" s="36">
        <f>VLOOKUP(B12,Weights!$A$12:$B$18,2,FALSE())*VLOOKUP(C12,Weights!$A$22:$B$25,2,FALSE())*VLOOKUP(E12,Weights!$A$29:$B$35,2,FALSE())*VLOOKUP(D12,Weights!$A$54:$B$62,2,FALSE())*(-1)*VLOOKUP(F12,Weights!$A$39:$B$41,2,FALSE())</f>
        <v/>
      </c>
      <c r="H12" s="35" t="inlineStr">
        <is>
          <t>Passive</t>
        </is>
      </c>
      <c r="I12" s="37">
        <f>B12 &amp; ": " &amp; C12 &amp; " " &amp; E12 &amp; " " &amp; D12 &amp; " " &amp; J12</f>
        <v/>
      </c>
    </row>
    <row r="13">
      <c r="A13" s="38" t="inlineStr">
        <is>
          <t>Surya Dough Kneader</t>
        </is>
      </c>
      <c r="B13" s="33" t="inlineStr">
        <is>
          <t>On-Hit</t>
        </is>
      </c>
      <c r="C13" s="33" t="inlineStr">
        <is>
          <t>Restore</t>
        </is>
      </c>
      <c r="D13" s="35" t="inlineStr">
        <is>
          <t>HP</t>
        </is>
      </c>
      <c r="E13" s="35" t="n">
        <v>4</v>
      </c>
      <c r="F13" s="35" t="inlineStr">
        <is>
          <t>Positive</t>
        </is>
      </c>
      <c r="G13" s="36">
        <f>VLOOKUP(B13,Weights!$A$12:$B$18,2,FALSE())*VLOOKUP(C13,Weights!$A$22:$B$25,2,FALSE())*VLOOKUP(E13,Weights!$A$29:$B$35,2,FALSE())*VLOOKUP(D13,Weights!$A$54:$B$62,2,FALSE())*(-1)*VLOOKUP(F13,Weights!$A$39:$B$41,2,FALSE())</f>
        <v/>
      </c>
      <c r="H13" s="35" t="inlineStr">
        <is>
          <t>Action</t>
        </is>
      </c>
      <c r="I13" s="37">
        <f>B13 &amp; ": " &amp; C13 &amp; " " &amp; E13 &amp; " " &amp; D13 &amp; " " &amp; J13</f>
        <v/>
      </c>
    </row>
    <row r="14">
      <c r="A14" s="38" t="inlineStr">
        <is>
          <t>Golden pan</t>
        </is>
      </c>
      <c r="B14" s="33" t="inlineStr">
        <is>
          <t>On-Start</t>
        </is>
      </c>
      <c r="C14" s="33" t="inlineStr">
        <is>
          <t>Gain</t>
        </is>
      </c>
      <c r="D14" s="35" t="inlineStr">
        <is>
          <t>MAX HP</t>
        </is>
      </c>
      <c r="E14" s="35" t="inlineStr">
        <is>
          <t>Scaling</t>
        </is>
      </c>
      <c r="F14" s="35" t="inlineStr">
        <is>
          <t>Positive</t>
        </is>
      </c>
      <c r="G14" s="36">
        <f>VLOOKUP(B14,Weights!$A$12:$B$18,2,FALSE())*VLOOKUP(C14,Weights!$A$22:$B$25,2,FALSE())*VLOOKUP(E14,Weights!$A$29:$B$35,2,FALSE())*VLOOKUP(D14,Weights!$A$54:$B$62,2,FALSE())*(-1)*VLOOKUP(F14,Weights!$A$39:$B$41,2,FALSE())</f>
        <v/>
      </c>
      <c r="H14" s="35" t="inlineStr">
        <is>
          <t>Passive</t>
        </is>
      </c>
      <c r="I14" s="37">
        <f>B14 &amp; ": " &amp; C14 &amp; " " &amp; E14 &amp; " " &amp; D14 &amp; " " &amp; J14</f>
        <v/>
      </c>
    </row>
    <row r="15">
      <c r="A15" s="38" t="inlineStr">
        <is>
          <t>Emperor Knife</t>
        </is>
      </c>
      <c r="B15" s="33" t="inlineStr">
        <is>
          <t>On-Damaged</t>
        </is>
      </c>
      <c r="C15" s="33" t="inlineStr">
        <is>
          <t>Convert</t>
        </is>
      </c>
      <c r="D15" s="35" t="inlineStr">
        <is>
          <t>ATK</t>
        </is>
      </c>
      <c r="E15" s="35" t="n">
        <v>1</v>
      </c>
      <c r="F15" s="35" t="inlineStr">
        <is>
          <t>Positive</t>
        </is>
      </c>
      <c r="G15" s="36">
        <f>VLOOKUP(B15,Weights!$A$12:$B$18,2,FALSE())*VLOOKUP(C15,Weights!$A$22:$B$25,2,FALSE())*VLOOKUP(E15,Weights!$A$29:$B$35,2,FALSE())*VLOOKUP(D15,Weights!$A$54:$B$62,2,FALSE())*(-1)*VLOOKUP(F15,Weights!$A$39:$B$41,2,FALSE())</f>
        <v/>
      </c>
      <c r="H15" s="35" t="inlineStr">
        <is>
          <t>Passive</t>
        </is>
      </c>
      <c r="I15" s="37">
        <f>B15 &amp; ": " &amp; C15 &amp; " " &amp; E15 &amp; " " &amp; D15 &amp; " " &amp; J15</f>
        <v/>
      </c>
    </row>
    <row r="16">
      <c r="A16" s="38" t="inlineStr">
        <is>
          <t>Gaint Fork</t>
        </is>
      </c>
      <c r="B16" s="33" t="inlineStr">
        <is>
          <t>Special</t>
        </is>
      </c>
      <c r="C16" s="33" t="inlineStr">
        <is>
          <t>Convert</t>
        </is>
      </c>
      <c r="D16" s="35" t="inlineStr">
        <is>
          <t>SPD</t>
        </is>
      </c>
      <c r="E16" s="35" t="n">
        <v>1</v>
      </c>
      <c r="F16" s="35" t="inlineStr">
        <is>
          <t>Positive</t>
        </is>
      </c>
      <c r="G16" s="36">
        <f>VLOOKUP(B16,Weights!$A$12:$B$18,2,FALSE())*VLOOKUP(C16,Weights!$A$22:$B$25,2,FALSE())*VLOOKUP(E16,Weights!$A$29:$B$35,2,FALSE())*VLOOKUP(D16,Weights!$A$54:$B$62,2,FALSE())*(-1)*VLOOKUP(F16,Weights!$A$39:$B$41,2,FALSE())</f>
        <v/>
      </c>
      <c r="H16" s="35" t="inlineStr">
        <is>
          <t>Special</t>
        </is>
      </c>
      <c r="I16" s="37">
        <f>B16 &amp; ": " &amp; C16 &amp; " " &amp; E16 &amp; " " &amp; D16 &amp; " " &amp; J16</f>
        <v/>
      </c>
    </row>
    <row r="17">
      <c r="A17" s="38" t="inlineStr">
        <is>
          <t>Maid Apron</t>
        </is>
      </c>
      <c r="B17" s="33" t="inlineStr">
        <is>
          <t>Special</t>
        </is>
      </c>
      <c r="C17" s="33" t="inlineStr">
        <is>
          <t>Gain</t>
        </is>
      </c>
      <c r="D17" s="35" t="inlineStr">
        <is>
          <t>Armor</t>
        </is>
      </c>
      <c r="E17" s="35" t="n">
        <v>2</v>
      </c>
      <c r="F17" s="35" t="inlineStr">
        <is>
          <t>Positive</t>
        </is>
      </c>
      <c r="G17" s="36">
        <f>VLOOKUP(B17,Weights!$A$12:$B$18,2,FALSE())*VLOOKUP(C17,Weights!$A$22:$B$25,2,FALSE())*VLOOKUP(E17,Weights!$A$29:$B$35,2,FALSE())*VLOOKUP(D17,Weights!$A$54:$B$62,2,FALSE())*(-1)*VLOOKUP(F17,Weights!$A$39:$B$41,2,FALSE())</f>
        <v/>
      </c>
      <c r="H17" s="35" t="inlineStr">
        <is>
          <t>Special</t>
        </is>
      </c>
      <c r="I17" s="37">
        <f>B17 &amp; ": " &amp; C17 &amp; " " &amp; E17 &amp; " " &amp; D17 &amp; " " &amp; J17</f>
        <v/>
      </c>
    </row>
    <row r="18">
      <c r="A18" s="44" t="inlineStr">
        <is>
          <t>⟨ex⟩ Twin Ladle</t>
        </is>
      </c>
      <c r="B18" s="33" t="inlineStr">
        <is>
          <t>On-Hit</t>
        </is>
      </c>
      <c r="C18" s="33" t="inlineStr">
        <is>
          <t>Gain</t>
        </is>
      </c>
      <c r="D18" s="48" t="inlineStr">
        <is>
          <t>ATK</t>
        </is>
      </c>
      <c r="E18" s="48" t="n">
        <v>1</v>
      </c>
      <c r="F18" s="48" t="inlineStr">
        <is>
          <t>Positive</t>
        </is>
      </c>
      <c r="G18" s="47">
        <f>VLOOKUP(B18,Weights!$A$12:$B$18,2,FALSE())*VLOOKUP(C18,Weights!$A$22:$B$25,2,FALSE())*VLOOKUP(E18,Weights!$A$29:$B$35,2,FALSE())*VLOOKUP(D18,Weights!$A$54:$B$62,2,FALSE())*(-1)*VLOOKUP(F18,Weights!$A$39:$B$41,2,FALSE())</f>
        <v/>
      </c>
      <c r="H18" s="35" t="inlineStr">
        <is>
          <t>Action</t>
        </is>
      </c>
      <c r="I18" s="37">
        <f>B18 &amp; ": " &amp; C18 &amp; " " &amp; E18 &amp; " " &amp; D18 &amp; " " &amp; J18</f>
        <v/>
      </c>
    </row>
    <row r="19">
      <c r="A19" s="44" t="inlineStr">
        <is>
          <t>⟨ex⟩ Twin Ladle</t>
        </is>
      </c>
      <c r="B19" s="33" t="inlineStr">
        <is>
          <t>On-Half</t>
        </is>
      </c>
      <c r="C19" s="33" t="inlineStr">
        <is>
          <t>Gain</t>
        </is>
      </c>
      <c r="D19" s="48" t="inlineStr">
        <is>
          <t>Armor</t>
        </is>
      </c>
      <c r="E19" s="48" t="n">
        <v>1</v>
      </c>
      <c r="F19" s="48" t="inlineStr">
        <is>
          <t>Positive</t>
        </is>
      </c>
      <c r="G19" s="47">
        <f>VLOOKUP(B19,Weights!$A$12:$B$18,2,FALSE())*VLOOKUP(C19,Weights!$A$22:$B$25,2,FALSE())*VLOOKUP(E19,Weights!$A$29:$B$35,2,FALSE())*VLOOKUP(D19,Weights!$A$54:$B$62,2,FALSE())*(-1)*VLOOKUP(F19,Weights!$A$39:$B$41,2,FALSE())</f>
        <v/>
      </c>
      <c r="H19" s="35" t="inlineStr">
        <is>
          <t>Passive</t>
        </is>
      </c>
      <c r="I19" s="37">
        <f>B19 &amp; ": " &amp; C19 &amp; " " &amp; E19 &amp; " " &amp; D19 &amp; " " &amp; J19</f>
        <v/>
      </c>
    </row>
    <row r="20">
      <c r="A20" s="38" t="inlineStr">
        <is>
          <t>Infinity Gloves</t>
        </is>
      </c>
      <c r="B20" s="33" t="inlineStr">
        <is>
          <t>On-Hit</t>
        </is>
      </c>
      <c r="C20" s="33" t="inlineStr">
        <is>
          <t>Gain</t>
        </is>
      </c>
      <c r="D20" s="35" t="inlineStr">
        <is>
          <t>ATK</t>
        </is>
      </c>
      <c r="E20" s="48" t="n">
        <v>1</v>
      </c>
      <c r="F20" s="48" t="inlineStr">
        <is>
          <t>Positive</t>
        </is>
      </c>
      <c r="G20" s="47">
        <f>VLOOKUP(B20,Weights!$A$12:$B$18,2,FALSE())*VLOOKUP(C20,Weights!$A$22:$B$25,2,FALSE())*VLOOKUP(E20,Weights!$A$29:$B$35,2,FALSE())*VLOOKUP(D20,Weights!$A$54:$B$62,2,FALSE())*(-1)*VLOOKUP(F20,Weights!$A$39:$B$41,2,FALSE())</f>
        <v/>
      </c>
      <c r="H20" s="35" t="inlineStr">
        <is>
          <t>Passive</t>
        </is>
      </c>
      <c r="I20" s="37">
        <f>B20 &amp; ": " &amp; C20 &amp; " " &amp; E20 &amp; " " &amp; D20 &amp; " " &amp; J20</f>
        <v/>
      </c>
    </row>
    <row r="21">
      <c r="A21" s="38" t="inlineStr">
        <is>
          <t>Immortal Ladle</t>
        </is>
      </c>
      <c r="B21" s="33" t="inlineStr">
        <is>
          <t>On-Exposed</t>
        </is>
      </c>
      <c r="C21" s="33" t="inlineStr">
        <is>
          <t>Gain</t>
        </is>
      </c>
      <c r="D21" s="48" t="inlineStr">
        <is>
          <t>Armor</t>
        </is>
      </c>
      <c r="E21" s="48" t="n">
        <v>1</v>
      </c>
      <c r="F21" s="48" t="inlineStr">
        <is>
          <t>Positive</t>
        </is>
      </c>
      <c r="G21" s="47">
        <f>VLOOKUP(B21,Weights!$A$12:$B$18,2,FALSE())*VLOOKUP(C21,Weights!$A$22:$B$25,2,FALSE())*VLOOKUP(E21,Weights!$A$29:$B$35,2,FALSE())*VLOOKUP(D21,Weights!$A$54:$B$62,2,FALSE())*(-1)*VLOOKUP(F21,Weights!$A$39:$B$41,2,FALSE())</f>
        <v/>
      </c>
      <c r="H21" s="35" t="inlineStr">
        <is>
          <t>Passive</t>
        </is>
      </c>
      <c r="I21" s="37">
        <f>B21 &amp; ": " &amp; C21 &amp; " " &amp; E21 &amp; " " &amp; D21 &amp; " " &amp; J21</f>
        <v/>
      </c>
    </row>
    <row r="22">
      <c r="A22" s="38" t="inlineStr">
        <is>
          <t>Immortal Ladle</t>
        </is>
      </c>
      <c r="B22" s="33" t="inlineStr">
        <is>
          <t>On-Exposed</t>
        </is>
      </c>
      <c r="C22" s="33" t="inlineStr">
        <is>
          <t>Gain</t>
        </is>
      </c>
      <c r="D22" s="48" t="inlineStr">
        <is>
          <t>DEF</t>
        </is>
      </c>
      <c r="E22" s="48" t="n">
        <v>5</v>
      </c>
      <c r="F22" s="48" t="inlineStr">
        <is>
          <t>Positive</t>
        </is>
      </c>
      <c r="G22" s="47">
        <f>VLOOKUP(B22,Weights!$A$12:$B$18,2,FALSE())*VLOOKUP(C22,Weights!$A$22:$B$25,2,FALSE())*VLOOKUP(E22,Weights!$A$29:$B$35,2,FALSE())*VLOOKUP(D22,Weights!$A$54:$B$62,2,FALSE())*(-1)*VLOOKUP(F22,Weights!$A$39:$B$41,2,FALSE())</f>
        <v/>
      </c>
      <c r="H22" s="35" t="inlineStr">
        <is>
          <t>Passive</t>
        </is>
      </c>
      <c r="I22" s="37">
        <f>B22 &amp; ": " &amp; C22 &amp; " " &amp; E22 &amp; " " &amp; D22 &amp; " " &amp; J22</f>
        <v/>
      </c>
    </row>
    <row r="23" ht="15.75" customHeight="1" s="50">
      <c r="B23" s="49" t="n"/>
      <c r="C23" s="49" t="n"/>
    </row>
    <row r="24" ht="15.75" customHeight="1" s="50">
      <c r="B24" s="49" t="n"/>
      <c r="C24" s="49" t="n"/>
    </row>
    <row r="25" ht="15.75" customHeight="1" s="50">
      <c r="B25" s="49" t="n"/>
      <c r="C25" s="49" t="n"/>
    </row>
    <row r="26" ht="15.75" customHeight="1" s="50">
      <c r="B26" s="49" t="n"/>
      <c r="C26" s="49" t="n"/>
    </row>
    <row r="27" ht="15.75" customHeight="1" s="50">
      <c r="B27" s="49" t="n"/>
      <c r="C27" s="49" t="n"/>
    </row>
    <row r="28" ht="15.75" customHeight="1" s="50">
      <c r="B28" s="49" t="n"/>
      <c r="C28" s="49" t="n"/>
    </row>
    <row r="29" ht="15.75" customHeight="1" s="50">
      <c r="B29" s="49" t="n"/>
      <c r="C29" s="49" t="n"/>
    </row>
    <row r="30" ht="15.75" customHeight="1" s="50">
      <c r="B30" s="49" t="n"/>
      <c r="C30" s="49" t="n"/>
    </row>
    <row r="31" ht="15.75" customHeight="1" s="50">
      <c r="B31" s="49" t="n"/>
      <c r="C31" s="49" t="n"/>
    </row>
    <row r="32" ht="15.75" customHeight="1" s="50">
      <c r="B32" s="49" t="n"/>
      <c r="C32" s="49" t="n"/>
    </row>
    <row r="33" ht="15.75" customHeight="1" s="50">
      <c r="B33" s="49" t="n"/>
      <c r="C33" s="49" t="n"/>
    </row>
    <row r="34" ht="15.75" customHeight="1" s="50">
      <c r="B34" s="49" t="n"/>
      <c r="C34" s="49" t="n"/>
    </row>
    <row r="35" ht="15.75" customHeight="1" s="50">
      <c r="B35" s="49" t="n"/>
      <c r="C35" s="49" t="n"/>
    </row>
    <row r="36" ht="15.75" customHeight="1" s="50">
      <c r="B36" s="49" t="n"/>
      <c r="C36" s="49" t="n"/>
    </row>
    <row r="37" ht="15.75" customHeight="1" s="50">
      <c r="B37" s="49" t="n"/>
      <c r="C37" s="49" t="n"/>
    </row>
    <row r="38" ht="15.75" customHeight="1" s="50">
      <c r="B38" s="49" t="n"/>
      <c r="C38" s="49" t="n"/>
    </row>
    <row r="39" ht="15.75" customHeight="1" s="50">
      <c r="B39" s="49" t="n"/>
      <c r="C39" s="49" t="n"/>
    </row>
    <row r="40" ht="15.75" customHeight="1" s="50">
      <c r="B40" s="49" t="n"/>
      <c r="C40" s="49" t="n"/>
    </row>
    <row r="41" ht="15.75" customHeight="1" s="50">
      <c r="B41" s="49" t="n"/>
      <c r="C41" s="49" t="n"/>
    </row>
    <row r="42" ht="15.75" customHeight="1" s="50">
      <c r="B42" s="49" t="n"/>
      <c r="C42" s="49" t="n"/>
    </row>
    <row r="43" ht="15.75" customHeight="1" s="50">
      <c r="B43" s="49" t="n"/>
      <c r="C43" s="49" t="n"/>
    </row>
    <row r="44" ht="15.75" customHeight="1" s="50">
      <c r="B44" s="49" t="n"/>
      <c r="C44" s="49" t="n"/>
    </row>
    <row r="45" ht="15.75" customHeight="1" s="50">
      <c r="B45" s="49" t="n"/>
      <c r="C45" s="49" t="n"/>
    </row>
    <row r="46" ht="15.75" customHeight="1" s="50">
      <c r="B46" s="49" t="n"/>
      <c r="C46" s="49" t="n"/>
    </row>
    <row r="47" ht="15.75" customHeight="1" s="50">
      <c r="B47" s="49" t="n"/>
      <c r="C47" s="49" t="n"/>
    </row>
    <row r="48" ht="15.75" customHeight="1" s="50">
      <c r="B48" s="49" t="n"/>
      <c r="C48" s="49" t="n"/>
    </row>
    <row r="49" ht="15.75" customHeight="1" s="50">
      <c r="B49" s="49" t="n"/>
      <c r="C49" s="49" t="n"/>
    </row>
    <row r="50" ht="15.75" customHeight="1" s="50">
      <c r="B50" s="49" t="n"/>
      <c r="C50" s="49" t="n"/>
    </row>
    <row r="51" ht="15.75" customHeight="1" s="50">
      <c r="B51" s="49" t="n"/>
      <c r="C51" s="49" t="n"/>
    </row>
    <row r="52" ht="15.75" customHeight="1" s="50">
      <c r="B52" s="49" t="n"/>
      <c r="C52" s="49" t="n"/>
    </row>
    <row r="53" ht="15.75" customHeight="1" s="50">
      <c r="B53" s="49" t="n"/>
      <c r="C53" s="49" t="n"/>
    </row>
    <row r="54" ht="15.75" customHeight="1" s="50">
      <c r="B54" s="49" t="n"/>
      <c r="C54" s="49" t="n"/>
    </row>
    <row r="55" ht="15.75" customHeight="1" s="50">
      <c r="B55" s="49" t="n"/>
      <c r="C55" s="49" t="n"/>
    </row>
    <row r="56" ht="15.75" customHeight="1" s="50">
      <c r="B56" s="49" t="n"/>
      <c r="C56" s="49" t="n"/>
    </row>
    <row r="57" ht="15.75" customHeight="1" s="50">
      <c r="B57" s="49" t="n"/>
      <c r="C57" s="49" t="n"/>
    </row>
    <row r="58" ht="15.75" customHeight="1" s="50">
      <c r="B58" s="49" t="n"/>
      <c r="C58" s="49" t="n"/>
    </row>
    <row r="59" ht="15.75" customHeight="1" s="50">
      <c r="B59" s="49" t="n"/>
      <c r="C59" s="49" t="n"/>
    </row>
    <row r="60" ht="15.75" customHeight="1" s="50">
      <c r="B60" s="49" t="n"/>
      <c r="C60" s="49" t="n"/>
    </row>
    <row r="61" ht="15.75" customHeight="1" s="50">
      <c r="B61" s="49" t="n"/>
      <c r="C61" s="49" t="n"/>
    </row>
    <row r="62" ht="15.75" customHeight="1" s="50">
      <c r="B62" s="49" t="n"/>
      <c r="C62" s="49" t="n"/>
    </row>
    <row r="63" ht="15.75" customHeight="1" s="50">
      <c r="B63" s="49" t="n"/>
      <c r="C63" s="49" t="n"/>
    </row>
    <row r="64" ht="15.75" customHeight="1" s="50">
      <c r="B64" s="49" t="n"/>
      <c r="C64" s="49" t="n"/>
    </row>
    <row r="65" ht="15.75" customHeight="1" s="50">
      <c r="B65" s="49" t="n"/>
      <c r="C65" s="49" t="n"/>
    </row>
    <row r="66" ht="15.75" customHeight="1" s="50">
      <c r="B66" s="49" t="n"/>
      <c r="C66" s="49" t="n"/>
    </row>
    <row r="67" ht="15.75" customHeight="1" s="50">
      <c r="B67" s="49" t="n"/>
      <c r="C67" s="49" t="n"/>
    </row>
    <row r="68" ht="15.75" customHeight="1" s="50">
      <c r="B68" s="49" t="n"/>
      <c r="C68" s="49" t="n"/>
    </row>
    <row r="69" ht="15.75" customHeight="1" s="50">
      <c r="B69" s="49" t="n"/>
      <c r="C69" s="49" t="n"/>
    </row>
    <row r="70" ht="15.75" customHeight="1" s="50">
      <c r="B70" s="49" t="n"/>
      <c r="C70" s="49" t="n"/>
    </row>
    <row r="71" ht="15.75" customHeight="1" s="50">
      <c r="B71" s="49" t="n"/>
      <c r="C71" s="49" t="n"/>
    </row>
    <row r="72" ht="15.75" customHeight="1" s="50">
      <c r="B72" s="49" t="n"/>
      <c r="C72" s="49" t="n"/>
    </row>
    <row r="73" ht="15.75" customHeight="1" s="50">
      <c r="B73" s="49" t="n"/>
      <c r="C73" s="49" t="n"/>
    </row>
    <row r="74" ht="15.75" customHeight="1" s="50">
      <c r="B74" s="49" t="n"/>
      <c r="C74" s="49" t="n"/>
    </row>
    <row r="75" ht="15.75" customHeight="1" s="50">
      <c r="B75" s="49" t="n"/>
      <c r="C75" s="49" t="n"/>
    </row>
    <row r="76" ht="15.75" customHeight="1" s="50">
      <c r="B76" s="49" t="n"/>
      <c r="C76" s="49" t="n"/>
    </row>
    <row r="77" ht="15.75" customHeight="1" s="50">
      <c r="B77" s="49" t="n"/>
      <c r="C77" s="49" t="n"/>
    </row>
    <row r="78" ht="15.75" customHeight="1" s="50">
      <c r="B78" s="49" t="n"/>
      <c r="C78" s="49" t="n"/>
    </row>
    <row r="79" ht="15.75" customHeight="1" s="50">
      <c r="B79" s="49" t="n"/>
      <c r="C79" s="49" t="n"/>
    </row>
    <row r="80" ht="15.75" customHeight="1" s="50">
      <c r="B80" s="49" t="n"/>
      <c r="C80" s="49" t="n"/>
    </row>
    <row r="81" ht="15.75" customHeight="1" s="50">
      <c r="B81" s="49" t="n"/>
      <c r="C81" s="49" t="n"/>
    </row>
    <row r="82" ht="15.75" customHeight="1" s="50">
      <c r="B82" s="49" t="n"/>
      <c r="C82" s="49" t="n"/>
    </row>
    <row r="83" ht="15.75" customHeight="1" s="50">
      <c r="B83" s="49" t="n"/>
      <c r="C83" s="49" t="n"/>
    </row>
    <row r="84" ht="15.75" customHeight="1" s="50">
      <c r="B84" s="49" t="n"/>
      <c r="C84" s="49" t="n"/>
    </row>
    <row r="85" ht="15.75" customHeight="1" s="50">
      <c r="B85" s="49" t="n"/>
      <c r="C85" s="49" t="n"/>
    </row>
    <row r="86" ht="15.75" customHeight="1" s="50">
      <c r="B86" s="49" t="n"/>
      <c r="C86" s="49" t="n"/>
    </row>
    <row r="87" ht="15.75" customHeight="1" s="50">
      <c r="B87" s="49" t="n"/>
      <c r="C87" s="49" t="n"/>
    </row>
    <row r="88" ht="15.75" customHeight="1" s="50">
      <c r="B88" s="49" t="n"/>
      <c r="C88" s="49" t="n"/>
    </row>
    <row r="89" ht="15.75" customHeight="1" s="50">
      <c r="B89" s="49" t="n"/>
      <c r="C89" s="49" t="n"/>
    </row>
    <row r="90" ht="15.75" customHeight="1" s="50">
      <c r="B90" s="49" t="n"/>
      <c r="C90" s="49" t="n"/>
    </row>
    <row r="91" ht="15.75" customHeight="1" s="50">
      <c r="B91" s="49" t="n"/>
      <c r="C91" s="49" t="n"/>
    </row>
    <row r="92" ht="15.75" customHeight="1" s="50">
      <c r="B92" s="49" t="n"/>
      <c r="C92" s="49" t="n"/>
    </row>
    <row r="93" ht="15.75" customHeight="1" s="50">
      <c r="B93" s="49" t="n"/>
      <c r="C93" s="49" t="n"/>
    </row>
    <row r="94" ht="15.75" customHeight="1" s="50">
      <c r="B94" s="49" t="n"/>
      <c r="C94" s="49" t="n"/>
    </row>
    <row r="95" ht="15.75" customHeight="1" s="50">
      <c r="B95" s="49" t="n"/>
      <c r="C95" s="49" t="n"/>
    </row>
    <row r="96" ht="15.75" customHeight="1" s="50">
      <c r="B96" s="49" t="n"/>
      <c r="C96" s="49" t="n"/>
    </row>
    <row r="97" ht="15.75" customHeight="1" s="50">
      <c r="B97" s="49" t="n"/>
      <c r="C97" s="49" t="n"/>
    </row>
    <row r="98" ht="15.75" customHeight="1" s="50">
      <c r="B98" s="49" t="n"/>
      <c r="C98" s="49" t="n"/>
    </row>
    <row r="99" ht="15.75" customHeight="1" s="50">
      <c r="B99" s="49" t="n"/>
      <c r="C99" s="49" t="n"/>
    </row>
    <row r="100" ht="15.75" customHeight="1" s="50">
      <c r="B100" s="49" t="n"/>
      <c r="C100" s="49" t="n"/>
    </row>
    <row r="101" ht="15.75" customHeight="1" s="50">
      <c r="B101" s="49" t="n"/>
      <c r="C101" s="49" t="n"/>
    </row>
    <row r="102" ht="15.75" customHeight="1" s="50">
      <c r="B102" s="49" t="n"/>
      <c r="C102" s="49" t="n"/>
    </row>
    <row r="103" ht="15.75" customHeight="1" s="50">
      <c r="B103" s="49" t="n"/>
      <c r="C103" s="49" t="n"/>
    </row>
    <row r="104" ht="15.75" customHeight="1" s="50">
      <c r="B104" s="49" t="n"/>
      <c r="C104" s="49" t="n"/>
    </row>
    <row r="105" ht="15.75" customHeight="1" s="50">
      <c r="B105" s="49" t="n"/>
      <c r="C105" s="49" t="n"/>
    </row>
    <row r="106" ht="15.75" customHeight="1" s="50">
      <c r="B106" s="49" t="n"/>
      <c r="C106" s="49" t="n"/>
    </row>
    <row r="107" ht="15.75" customHeight="1" s="50">
      <c r="B107" s="49" t="n"/>
      <c r="C107" s="49" t="n"/>
    </row>
    <row r="108" ht="15.75" customHeight="1" s="50">
      <c r="B108" s="49" t="n"/>
      <c r="C108" s="49" t="n"/>
    </row>
    <row r="109" ht="15.75" customHeight="1" s="50">
      <c r="B109" s="49" t="n"/>
      <c r="C109" s="49" t="n"/>
    </row>
    <row r="110" ht="15.75" customHeight="1" s="50">
      <c r="B110" s="49" t="n"/>
      <c r="C110" s="49" t="n"/>
    </row>
    <row r="111" ht="15.75" customHeight="1" s="50">
      <c r="B111" s="49" t="n"/>
      <c r="C111" s="49" t="n"/>
    </row>
    <row r="112" ht="15.75" customHeight="1" s="50">
      <c r="B112" s="49" t="n"/>
      <c r="C112" s="49" t="n"/>
    </row>
    <row r="113" ht="15.75" customHeight="1" s="50">
      <c r="B113" s="49" t="n"/>
      <c r="C113" s="49" t="n"/>
    </row>
    <row r="114" ht="15.75" customHeight="1" s="50">
      <c r="B114" s="49" t="n"/>
      <c r="C114" s="49" t="n"/>
    </row>
    <row r="115" ht="15.75" customHeight="1" s="50">
      <c r="B115" s="49" t="n"/>
      <c r="C115" s="49" t="n"/>
    </row>
    <row r="116" ht="15.75" customHeight="1" s="50">
      <c r="B116" s="49" t="n"/>
      <c r="C116" s="49" t="n"/>
    </row>
    <row r="117" ht="15.75" customHeight="1" s="50">
      <c r="B117" s="49" t="n"/>
      <c r="C117" s="49" t="n"/>
    </row>
    <row r="118" ht="15.75" customHeight="1" s="50">
      <c r="B118" s="49" t="n"/>
      <c r="C118" s="49" t="n"/>
    </row>
    <row r="119" ht="15.75" customHeight="1" s="50">
      <c r="B119" s="49" t="n"/>
      <c r="C119" s="49" t="n"/>
    </row>
    <row r="120" ht="15.75" customHeight="1" s="50">
      <c r="B120" s="49" t="n"/>
      <c r="C120" s="49" t="n"/>
    </row>
    <row r="121" ht="15.75" customHeight="1" s="50">
      <c r="B121" s="49" t="n"/>
      <c r="C121" s="49" t="n"/>
    </row>
    <row r="122" ht="15.75" customHeight="1" s="50">
      <c r="B122" s="49" t="n"/>
      <c r="C122" s="49" t="n"/>
    </row>
    <row r="123" ht="15.75" customHeight="1" s="50">
      <c r="B123" s="49" t="n"/>
      <c r="C123" s="49" t="n"/>
    </row>
    <row r="124" ht="15.75" customHeight="1" s="50">
      <c r="B124" s="49" t="n"/>
      <c r="C124" s="49" t="n"/>
    </row>
    <row r="125" ht="15.75" customHeight="1" s="50">
      <c r="B125" s="49" t="n"/>
      <c r="C125" s="49" t="n"/>
    </row>
    <row r="126" ht="15.75" customHeight="1" s="50">
      <c r="B126" s="49" t="n"/>
      <c r="C126" s="49" t="n"/>
    </row>
    <row r="127" ht="15.75" customHeight="1" s="50">
      <c r="B127" s="49" t="n"/>
      <c r="C127" s="49" t="n"/>
    </row>
    <row r="128" ht="15.75" customHeight="1" s="50">
      <c r="B128" s="49" t="n"/>
      <c r="C128" s="49" t="n"/>
    </row>
    <row r="129" ht="15.75" customHeight="1" s="50">
      <c r="B129" s="49" t="n"/>
      <c r="C129" s="49" t="n"/>
    </row>
    <row r="130" ht="15.75" customHeight="1" s="50">
      <c r="B130" s="49" t="n"/>
      <c r="C130" s="49" t="n"/>
    </row>
    <row r="131" ht="15.75" customHeight="1" s="50">
      <c r="B131" s="49" t="n"/>
      <c r="C131" s="49" t="n"/>
    </row>
    <row r="132" ht="15.75" customHeight="1" s="50">
      <c r="B132" s="49" t="n"/>
      <c r="C132" s="49" t="n"/>
    </row>
    <row r="133" ht="15.75" customHeight="1" s="50">
      <c r="B133" s="49" t="n"/>
      <c r="C133" s="49" t="n"/>
    </row>
    <row r="134" ht="15.75" customHeight="1" s="50">
      <c r="B134" s="49" t="n"/>
      <c r="C134" s="49" t="n"/>
    </row>
    <row r="135" ht="15.75" customHeight="1" s="50">
      <c r="B135" s="49" t="n"/>
      <c r="C135" s="49" t="n"/>
    </row>
    <row r="136" ht="15.75" customHeight="1" s="50">
      <c r="B136" s="49" t="n"/>
      <c r="C136" s="49" t="n"/>
    </row>
    <row r="137" ht="15.75" customHeight="1" s="50">
      <c r="B137" s="49" t="n"/>
      <c r="C137" s="49" t="n"/>
    </row>
    <row r="138" ht="15.75" customHeight="1" s="50">
      <c r="B138" s="49" t="n"/>
      <c r="C138" s="49" t="n"/>
    </row>
    <row r="139" ht="15.75" customHeight="1" s="50">
      <c r="B139" s="49" t="n"/>
      <c r="C139" s="49" t="n"/>
    </row>
    <row r="140" ht="15.75" customHeight="1" s="50">
      <c r="B140" s="49" t="n"/>
      <c r="C140" s="49" t="n"/>
    </row>
    <row r="141" ht="15.75" customHeight="1" s="50">
      <c r="B141" s="49" t="n"/>
      <c r="C141" s="49" t="n"/>
    </row>
    <row r="142" ht="15.75" customHeight="1" s="50">
      <c r="B142" s="49" t="n"/>
      <c r="C142" s="49" t="n"/>
    </row>
    <row r="143" ht="15.75" customHeight="1" s="50">
      <c r="B143" s="49" t="n"/>
      <c r="C143" s="49" t="n"/>
    </row>
    <row r="144" ht="15.75" customHeight="1" s="50">
      <c r="B144" s="49" t="n"/>
      <c r="C144" s="49" t="n"/>
    </row>
    <row r="145" ht="15.75" customHeight="1" s="50">
      <c r="B145" s="49" t="n"/>
      <c r="C145" s="49" t="n"/>
    </row>
    <row r="146" ht="15.75" customHeight="1" s="50">
      <c r="B146" s="49" t="n"/>
      <c r="C146" s="49" t="n"/>
    </row>
    <row r="147" ht="15.75" customHeight="1" s="50">
      <c r="B147" s="49" t="n"/>
      <c r="C147" s="49" t="n"/>
    </row>
    <row r="148" ht="15.75" customHeight="1" s="50">
      <c r="B148" s="49" t="n"/>
      <c r="C148" s="49" t="n"/>
    </row>
    <row r="149" ht="15.75" customHeight="1" s="50">
      <c r="B149" s="49" t="n"/>
      <c r="C149" s="49" t="n"/>
    </row>
    <row r="150" ht="15.75" customHeight="1" s="50">
      <c r="B150" s="49" t="n"/>
      <c r="C150" s="49" t="n"/>
    </row>
    <row r="151" ht="15.75" customHeight="1" s="50">
      <c r="B151" s="49" t="n"/>
      <c r="C151" s="49" t="n"/>
    </row>
    <row r="152" ht="15.75" customHeight="1" s="50">
      <c r="B152" s="49" t="n"/>
      <c r="C152" s="49" t="n"/>
    </row>
    <row r="153" ht="15.75" customHeight="1" s="50">
      <c r="B153" s="49" t="n"/>
      <c r="C153" s="49" t="n"/>
    </row>
    <row r="154" ht="15.75" customHeight="1" s="50">
      <c r="B154" s="49" t="n"/>
      <c r="C154" s="49" t="n"/>
    </row>
    <row r="155" ht="15.75" customHeight="1" s="50">
      <c r="B155" s="49" t="n"/>
      <c r="C155" s="49" t="n"/>
    </row>
    <row r="156" ht="15.75" customHeight="1" s="50">
      <c r="B156" s="49" t="n"/>
      <c r="C156" s="49" t="n"/>
    </row>
    <row r="157" ht="15.75" customHeight="1" s="50">
      <c r="B157" s="49" t="n"/>
      <c r="C157" s="49" t="n"/>
    </row>
    <row r="158" ht="15.75" customHeight="1" s="50">
      <c r="B158" s="49" t="n"/>
      <c r="C158" s="49" t="n"/>
    </row>
    <row r="159" ht="15.75" customHeight="1" s="50">
      <c r="B159" s="49" t="n"/>
      <c r="C159" s="49" t="n"/>
    </row>
    <row r="160" ht="15.75" customHeight="1" s="50">
      <c r="B160" s="49" t="n"/>
      <c r="C160" s="49" t="n"/>
    </row>
    <row r="161" ht="15.75" customHeight="1" s="50">
      <c r="B161" s="49" t="n"/>
      <c r="C161" s="49" t="n"/>
    </row>
    <row r="162" ht="15.75" customHeight="1" s="50">
      <c r="B162" s="49" t="n"/>
      <c r="C162" s="49" t="n"/>
    </row>
    <row r="163" ht="15.75" customHeight="1" s="50">
      <c r="B163" s="49" t="n"/>
      <c r="C163" s="49" t="n"/>
    </row>
    <row r="164" ht="15.75" customHeight="1" s="50">
      <c r="B164" s="49" t="n"/>
      <c r="C164" s="49" t="n"/>
    </row>
    <row r="165" ht="15.75" customHeight="1" s="50">
      <c r="B165" s="49" t="n"/>
      <c r="C165" s="49" t="n"/>
    </row>
    <row r="166" ht="15.75" customHeight="1" s="50">
      <c r="B166" s="49" t="n"/>
      <c r="C166" s="49" t="n"/>
    </row>
    <row r="167" ht="15.75" customHeight="1" s="50">
      <c r="B167" s="49" t="n"/>
      <c r="C167" s="49" t="n"/>
    </row>
    <row r="168" ht="15.75" customHeight="1" s="50">
      <c r="B168" s="49" t="n"/>
      <c r="C168" s="49" t="n"/>
    </row>
    <row r="169" ht="15.75" customHeight="1" s="50">
      <c r="B169" s="49" t="n"/>
      <c r="C169" s="49" t="n"/>
    </row>
    <row r="170" ht="15.75" customHeight="1" s="50">
      <c r="B170" s="49" t="n"/>
      <c r="C170" s="49" t="n"/>
    </row>
    <row r="171" ht="15.75" customHeight="1" s="50">
      <c r="B171" s="49" t="n"/>
      <c r="C171" s="49" t="n"/>
    </row>
    <row r="172" ht="15.75" customHeight="1" s="50">
      <c r="B172" s="49" t="n"/>
      <c r="C172" s="49" t="n"/>
    </row>
    <row r="173" ht="15.75" customHeight="1" s="50">
      <c r="B173" s="49" t="n"/>
      <c r="C173" s="49" t="n"/>
    </row>
    <row r="174" ht="15.75" customHeight="1" s="50">
      <c r="B174" s="49" t="n"/>
      <c r="C174" s="49" t="n"/>
    </row>
    <row r="175" ht="15.75" customHeight="1" s="50">
      <c r="B175" s="49" t="n"/>
      <c r="C175" s="49" t="n"/>
    </row>
    <row r="176" ht="15.75" customHeight="1" s="50">
      <c r="B176" s="49" t="n"/>
      <c r="C176" s="49" t="n"/>
    </row>
    <row r="177" ht="15.75" customHeight="1" s="50">
      <c r="B177" s="49" t="n"/>
      <c r="C177" s="49" t="n"/>
    </row>
    <row r="178" ht="15.75" customHeight="1" s="50">
      <c r="B178" s="49" t="n"/>
      <c r="C178" s="49" t="n"/>
    </row>
    <row r="179" ht="15.75" customHeight="1" s="50">
      <c r="B179" s="49" t="n"/>
      <c r="C179" s="49" t="n"/>
    </row>
    <row r="180" ht="15.75" customHeight="1" s="50">
      <c r="B180" s="49" t="n"/>
      <c r="C180" s="49" t="n"/>
    </row>
    <row r="181" ht="15.75" customHeight="1" s="50">
      <c r="B181" s="49" t="n"/>
      <c r="C181" s="49" t="n"/>
    </row>
    <row r="182" ht="15.75" customHeight="1" s="50">
      <c r="B182" s="49" t="n"/>
      <c r="C182" s="49" t="n"/>
    </row>
    <row r="183" ht="15.75" customHeight="1" s="50">
      <c r="B183" s="49" t="n"/>
      <c r="C183" s="49" t="n"/>
    </row>
    <row r="184" ht="15.75" customHeight="1" s="50">
      <c r="B184" s="49" t="n"/>
      <c r="C184" s="49" t="n"/>
    </row>
    <row r="185" ht="15.75" customHeight="1" s="50">
      <c r="B185" s="49" t="n"/>
      <c r="C185" s="49" t="n"/>
    </row>
    <row r="186" ht="15.75" customHeight="1" s="50">
      <c r="B186" s="49" t="n"/>
      <c r="C186" s="49" t="n"/>
    </row>
    <row r="187" ht="15.75" customHeight="1" s="50">
      <c r="B187" s="49" t="n"/>
      <c r="C187" s="49" t="n"/>
    </row>
    <row r="188" ht="15.75" customHeight="1" s="50">
      <c r="B188" s="49" t="n"/>
      <c r="C188" s="49" t="n"/>
    </row>
    <row r="189" ht="15.75" customHeight="1" s="50">
      <c r="B189" s="49" t="n"/>
      <c r="C189" s="49" t="n"/>
    </row>
    <row r="190" ht="15.75" customHeight="1" s="50">
      <c r="B190" s="49" t="n"/>
      <c r="C190" s="49" t="n"/>
    </row>
    <row r="191" ht="15.75" customHeight="1" s="50">
      <c r="B191" s="49" t="n"/>
      <c r="C191" s="49" t="n"/>
    </row>
    <row r="192" ht="15.75" customHeight="1" s="50">
      <c r="B192" s="49" t="n"/>
      <c r="C192" s="49" t="n"/>
    </row>
    <row r="193" ht="15.75" customHeight="1" s="50">
      <c r="B193" s="49" t="n"/>
      <c r="C193" s="49" t="n"/>
    </row>
    <row r="194" ht="15.75" customHeight="1" s="50">
      <c r="B194" s="49" t="n"/>
      <c r="C194" s="49" t="n"/>
    </row>
    <row r="195" ht="15.75" customHeight="1" s="50">
      <c r="B195" s="49" t="n"/>
      <c r="C195" s="49" t="n"/>
    </row>
    <row r="196" ht="15.75" customHeight="1" s="50">
      <c r="B196" s="49" t="n"/>
      <c r="C196" s="49" t="n"/>
    </row>
    <row r="197" ht="15.75" customHeight="1" s="50">
      <c r="B197" s="49" t="n"/>
      <c r="C197" s="49" t="n"/>
    </row>
    <row r="198" ht="15.75" customHeight="1" s="50">
      <c r="B198" s="49" t="n"/>
      <c r="C198" s="49" t="n"/>
    </row>
    <row r="199" ht="15.75" customHeight="1" s="50">
      <c r="B199" s="49" t="n"/>
      <c r="C199" s="49" t="n"/>
    </row>
    <row r="200" ht="15.75" customHeight="1" s="50">
      <c r="B200" s="49" t="n"/>
      <c r="C200" s="49" t="n"/>
    </row>
    <row r="201" ht="15.75" customHeight="1" s="50">
      <c r="B201" s="49" t="n"/>
      <c r="C201" s="49" t="n"/>
    </row>
    <row r="202" ht="15.75" customHeight="1" s="50">
      <c r="B202" s="49" t="n"/>
      <c r="C202" s="49" t="n"/>
    </row>
    <row r="203" ht="15.75" customHeight="1" s="50">
      <c r="B203" s="49" t="n"/>
      <c r="C203" s="49" t="n"/>
    </row>
    <row r="204" ht="15.75" customHeight="1" s="50">
      <c r="B204" s="49" t="n"/>
      <c r="C204" s="49" t="n"/>
    </row>
    <row r="205" ht="15.75" customHeight="1" s="50">
      <c r="B205" s="49" t="n"/>
      <c r="C205" s="49" t="n"/>
    </row>
    <row r="206" ht="15.75" customHeight="1" s="50">
      <c r="B206" s="49" t="n"/>
      <c r="C206" s="49" t="n"/>
    </row>
    <row r="207" ht="15.75" customHeight="1" s="50">
      <c r="B207" s="49" t="n"/>
      <c r="C207" s="49" t="n"/>
    </row>
    <row r="208" ht="15.75" customHeight="1" s="50">
      <c r="B208" s="49" t="n"/>
      <c r="C208" s="49" t="n"/>
    </row>
    <row r="209" ht="15.75" customHeight="1" s="50">
      <c r="B209" s="49" t="n"/>
      <c r="C209" s="49" t="n"/>
    </row>
    <row r="210" ht="15.75" customHeight="1" s="50">
      <c r="B210" s="49" t="n"/>
      <c r="C210" s="49" t="n"/>
    </row>
    <row r="211" ht="15.75" customHeight="1" s="50">
      <c r="B211" s="49" t="n"/>
      <c r="C211" s="49" t="n"/>
    </row>
    <row r="212" ht="15.75" customHeight="1" s="50">
      <c r="B212" s="49" t="n"/>
      <c r="C212" s="49" t="n"/>
    </row>
    <row r="213" ht="15.75" customHeight="1" s="50">
      <c r="B213" s="49" t="n"/>
      <c r="C213" s="49" t="n"/>
    </row>
    <row r="214" ht="15.75" customHeight="1" s="50">
      <c r="B214" s="49" t="n"/>
      <c r="C214" s="49" t="n"/>
    </row>
    <row r="215" ht="15.75" customHeight="1" s="50">
      <c r="B215" s="49" t="n"/>
      <c r="C215" s="49" t="n"/>
    </row>
    <row r="216" ht="15.75" customHeight="1" s="50">
      <c r="B216" s="49" t="n"/>
      <c r="C216" s="49" t="n"/>
    </row>
    <row r="217" ht="15.75" customHeight="1" s="50">
      <c r="B217" s="49" t="n"/>
      <c r="C217" s="49" t="n"/>
    </row>
    <row r="218" ht="15.75" customHeight="1" s="50">
      <c r="B218" s="49" t="n"/>
      <c r="C218" s="49" t="n"/>
    </row>
    <row r="219" ht="15.75" customHeight="1" s="50">
      <c r="B219" s="49" t="n"/>
      <c r="C219" s="49" t="n"/>
    </row>
    <row r="220" ht="15.75" customHeight="1" s="50">
      <c r="B220" s="49" t="n"/>
      <c r="C220" s="49" t="n"/>
    </row>
    <row r="221" ht="15.75" customHeight="1" s="50">
      <c r="B221" s="49" t="n"/>
      <c r="C221" s="49" t="n"/>
    </row>
    <row r="222" ht="15.75" customHeight="1" s="50">
      <c r="B222" s="49" t="n"/>
      <c r="C222" s="49" t="n"/>
    </row>
    <row r="223" ht="15.75" customHeight="1" s="50">
      <c r="B223" s="49" t="n"/>
      <c r="C223" s="49" t="n"/>
    </row>
    <row r="224" ht="15.75" customHeight="1" s="50">
      <c r="B224" s="49" t="n"/>
      <c r="C224" s="49" t="n"/>
    </row>
    <row r="225" ht="15.75" customHeight="1" s="50">
      <c r="B225" s="49" t="n"/>
      <c r="C225" s="49" t="n"/>
    </row>
    <row r="226" ht="15.75" customHeight="1" s="50">
      <c r="B226" s="49" t="n"/>
      <c r="C226" s="49" t="n"/>
    </row>
    <row r="227" ht="15.75" customHeight="1" s="50">
      <c r="B227" s="49" t="n"/>
      <c r="C227" s="49" t="n"/>
    </row>
    <row r="228" ht="15.75" customHeight="1" s="50">
      <c r="B228" s="49" t="n"/>
      <c r="C228" s="49" t="n"/>
    </row>
    <row r="229" ht="15.75" customHeight="1" s="50">
      <c r="B229" s="49" t="n"/>
      <c r="C229" s="49" t="n"/>
    </row>
    <row r="230" ht="15.75" customHeight="1" s="50">
      <c r="B230" s="49" t="n"/>
      <c r="C230" s="49" t="n"/>
    </row>
    <row r="231" ht="15.75" customHeight="1" s="50">
      <c r="B231" s="49" t="n"/>
      <c r="C231" s="49" t="n"/>
    </row>
    <row r="232" ht="15.75" customHeight="1" s="50">
      <c r="B232" s="49" t="n"/>
      <c r="C232" s="49" t="n"/>
    </row>
    <row r="233" ht="15.75" customHeight="1" s="50">
      <c r="B233" s="49" t="n"/>
      <c r="C233" s="49" t="n"/>
    </row>
    <row r="234" ht="15.75" customHeight="1" s="50">
      <c r="B234" s="49" t="n"/>
      <c r="C234" s="49" t="n"/>
    </row>
    <row r="235" ht="15.75" customHeight="1" s="50">
      <c r="B235" s="49" t="n"/>
      <c r="C235" s="49" t="n"/>
    </row>
    <row r="236" ht="15.75" customHeight="1" s="50">
      <c r="B236" s="49" t="n"/>
      <c r="C236" s="49" t="n"/>
    </row>
    <row r="237" ht="15.75" customHeight="1" s="50">
      <c r="B237" s="49" t="n"/>
      <c r="C237" s="49" t="n"/>
    </row>
    <row r="238" ht="15.75" customHeight="1" s="50">
      <c r="B238" s="49" t="n"/>
      <c r="C238" s="49" t="n"/>
    </row>
    <row r="239" ht="15.75" customHeight="1" s="50">
      <c r="B239" s="49" t="n"/>
      <c r="C239" s="49" t="n"/>
    </row>
    <row r="240" ht="15.75" customHeight="1" s="50">
      <c r="B240" s="49" t="n"/>
      <c r="C240" s="49" t="n"/>
    </row>
    <row r="241" ht="15.75" customHeight="1" s="50">
      <c r="B241" s="49" t="n"/>
      <c r="C241" s="49" t="n"/>
    </row>
    <row r="242" ht="15.75" customHeight="1" s="50">
      <c r="B242" s="49" t="n"/>
      <c r="C242" s="49" t="n"/>
    </row>
    <row r="243" ht="15.75" customHeight="1" s="50">
      <c r="B243" s="49" t="n"/>
      <c r="C243" s="49" t="n"/>
    </row>
    <row r="244" ht="15.75" customHeight="1" s="50">
      <c r="B244" s="49" t="n"/>
      <c r="C244" s="49" t="n"/>
    </row>
    <row r="245" ht="15.75" customHeight="1" s="50">
      <c r="B245" s="49" t="n"/>
      <c r="C245" s="49" t="n"/>
    </row>
    <row r="246" ht="15.75" customHeight="1" s="50">
      <c r="B246" s="49" t="n"/>
      <c r="C246" s="49" t="n"/>
    </row>
    <row r="247" ht="15.75" customHeight="1" s="50">
      <c r="B247" s="49" t="n"/>
      <c r="C247" s="49" t="n"/>
    </row>
    <row r="248" ht="15.75" customHeight="1" s="50">
      <c r="B248" s="49" t="n"/>
      <c r="C248" s="49" t="n"/>
    </row>
    <row r="249" ht="15.75" customHeight="1" s="50">
      <c r="B249" s="49" t="n"/>
      <c r="C249" s="49" t="n"/>
    </row>
    <row r="250" ht="15.75" customHeight="1" s="50">
      <c r="B250" s="49" t="n"/>
      <c r="C250" s="49" t="n"/>
    </row>
    <row r="251" ht="15.75" customHeight="1" s="50">
      <c r="B251" s="49" t="n"/>
      <c r="C251" s="49" t="n"/>
    </row>
    <row r="252" ht="15.75" customHeight="1" s="50">
      <c r="B252" s="49" t="n"/>
      <c r="C252" s="49" t="n"/>
    </row>
    <row r="253" ht="15.75" customHeight="1" s="50">
      <c r="B253" s="49" t="n"/>
      <c r="C253" s="49" t="n"/>
    </row>
    <row r="254" ht="15.75" customHeight="1" s="50">
      <c r="B254" s="49" t="n"/>
      <c r="C254" s="49" t="n"/>
    </row>
    <row r="255" ht="15.75" customHeight="1" s="50">
      <c r="B255" s="49" t="n"/>
      <c r="C255" s="49" t="n"/>
    </row>
    <row r="256" ht="15.75" customHeight="1" s="50">
      <c r="B256" s="49" t="n"/>
      <c r="C256" s="49" t="n"/>
    </row>
    <row r="257" ht="15.75" customHeight="1" s="50">
      <c r="B257" s="49" t="n"/>
      <c r="C257" s="49" t="n"/>
    </row>
    <row r="258" ht="15.75" customHeight="1" s="50">
      <c r="B258" s="49" t="n"/>
      <c r="C258" s="49" t="n"/>
    </row>
    <row r="259" ht="15.75" customHeight="1" s="50">
      <c r="B259" s="49" t="n"/>
      <c r="C259" s="49" t="n"/>
    </row>
    <row r="260" ht="15.75" customHeight="1" s="50">
      <c r="B260" s="49" t="n"/>
      <c r="C260" s="49" t="n"/>
    </row>
    <row r="261" ht="15.75" customHeight="1" s="50">
      <c r="B261" s="49" t="n"/>
      <c r="C261" s="49" t="n"/>
    </row>
    <row r="262" ht="15.75" customHeight="1" s="50">
      <c r="B262" s="49" t="n"/>
      <c r="C262" s="49" t="n"/>
    </row>
    <row r="263" ht="15.75" customHeight="1" s="50">
      <c r="B263" s="49" t="n"/>
      <c r="C263" s="49" t="n"/>
    </row>
    <row r="264" ht="15.75" customHeight="1" s="50">
      <c r="B264" s="49" t="n"/>
      <c r="C264" s="49" t="n"/>
    </row>
    <row r="265" ht="15.75" customHeight="1" s="50">
      <c r="B265" s="49" t="n"/>
      <c r="C265" s="49" t="n"/>
    </row>
    <row r="266" ht="15.75" customHeight="1" s="50">
      <c r="B266" s="49" t="n"/>
      <c r="C266" s="49" t="n"/>
    </row>
    <row r="267" ht="15.75" customHeight="1" s="50">
      <c r="B267" s="49" t="n"/>
      <c r="C267" s="49" t="n"/>
    </row>
    <row r="268" ht="15.75" customHeight="1" s="50">
      <c r="B268" s="49" t="n"/>
      <c r="C268" s="49" t="n"/>
    </row>
    <row r="269" ht="15.75" customHeight="1" s="50">
      <c r="B269" s="49" t="n"/>
      <c r="C269" s="49" t="n"/>
    </row>
    <row r="270" ht="15.75" customHeight="1" s="50">
      <c r="B270" s="49" t="n"/>
      <c r="C270" s="49" t="n"/>
    </row>
    <row r="271" ht="15.75" customHeight="1" s="50">
      <c r="B271" s="49" t="n"/>
      <c r="C271" s="49" t="n"/>
    </row>
    <row r="272" ht="15.75" customHeight="1" s="50">
      <c r="B272" s="49" t="n"/>
      <c r="C272" s="49" t="n"/>
    </row>
    <row r="273" ht="15.75" customHeight="1" s="50">
      <c r="B273" s="49" t="n"/>
      <c r="C273" s="49" t="n"/>
    </row>
    <row r="274" ht="15.75" customHeight="1" s="50">
      <c r="B274" s="49" t="n"/>
      <c r="C274" s="49" t="n"/>
    </row>
    <row r="275" ht="15.75" customHeight="1" s="50">
      <c r="B275" s="49" t="n"/>
      <c r="C275" s="49" t="n"/>
    </row>
    <row r="276" ht="15.75" customHeight="1" s="50">
      <c r="B276" s="49" t="n"/>
      <c r="C276" s="49" t="n"/>
    </row>
    <row r="277" ht="15.75" customHeight="1" s="50">
      <c r="B277" s="49" t="n"/>
      <c r="C277" s="49" t="n"/>
    </row>
    <row r="278" ht="15.75" customHeight="1" s="50">
      <c r="B278" s="49" t="n"/>
      <c r="C278" s="49" t="n"/>
    </row>
    <row r="279" ht="15.75" customHeight="1" s="50">
      <c r="B279" s="49" t="n"/>
      <c r="C279" s="49" t="n"/>
    </row>
    <row r="280" ht="15.75" customHeight="1" s="50">
      <c r="B280" s="49" t="n"/>
      <c r="C280" s="49" t="n"/>
    </row>
    <row r="281" ht="15.75" customHeight="1" s="50">
      <c r="B281" s="49" t="n"/>
      <c r="C281" s="49" t="n"/>
    </row>
    <row r="282" ht="15.75" customHeight="1" s="50">
      <c r="B282" s="49" t="n"/>
      <c r="C282" s="49" t="n"/>
    </row>
    <row r="283" ht="15.75" customHeight="1" s="50">
      <c r="B283" s="49" t="n"/>
      <c r="C283" s="49" t="n"/>
    </row>
    <row r="284" ht="15.75" customHeight="1" s="50">
      <c r="B284" s="49" t="n"/>
      <c r="C284" s="49" t="n"/>
    </row>
    <row r="285" ht="15.75" customHeight="1" s="50">
      <c r="B285" s="49" t="n"/>
      <c r="C285" s="49" t="n"/>
    </row>
    <row r="286" ht="15.75" customHeight="1" s="50">
      <c r="B286" s="49" t="n"/>
      <c r="C286" s="49" t="n"/>
    </row>
    <row r="287" ht="15.75" customHeight="1" s="50">
      <c r="B287" s="49" t="n"/>
      <c r="C287" s="49" t="n"/>
    </row>
    <row r="288" ht="15.75" customHeight="1" s="50">
      <c r="B288" s="49" t="n"/>
      <c r="C288" s="49" t="n"/>
    </row>
    <row r="289" ht="15.75" customHeight="1" s="50">
      <c r="B289" s="49" t="n"/>
      <c r="C289" s="49" t="n"/>
    </row>
    <row r="290" ht="15.75" customHeight="1" s="50">
      <c r="B290" s="49" t="n"/>
      <c r="C290" s="49" t="n"/>
    </row>
    <row r="291" ht="15.75" customHeight="1" s="50">
      <c r="B291" s="49" t="n"/>
      <c r="C291" s="49" t="n"/>
    </row>
    <row r="292" ht="15.75" customHeight="1" s="50">
      <c r="B292" s="49" t="n"/>
      <c r="C292" s="49" t="n"/>
    </row>
    <row r="293" ht="15.75" customHeight="1" s="50">
      <c r="B293" s="49" t="n"/>
      <c r="C293" s="49" t="n"/>
    </row>
    <row r="294" ht="15.75" customHeight="1" s="50">
      <c r="B294" s="49" t="n"/>
      <c r="C294" s="49" t="n"/>
    </row>
    <row r="295" ht="15.75" customHeight="1" s="50">
      <c r="B295" s="49" t="n"/>
      <c r="C295" s="49" t="n"/>
    </row>
    <row r="296" ht="15.75" customHeight="1" s="50">
      <c r="B296" s="49" t="n"/>
      <c r="C296" s="49" t="n"/>
    </row>
    <row r="297" ht="15.75" customHeight="1" s="50">
      <c r="B297" s="49" t="n"/>
      <c r="C297" s="49" t="n"/>
    </row>
    <row r="298" ht="15.75" customHeight="1" s="50">
      <c r="B298" s="49" t="n"/>
      <c r="C298" s="49" t="n"/>
    </row>
    <row r="299" ht="15.75" customHeight="1" s="50">
      <c r="B299" s="49" t="n"/>
      <c r="C299" s="49" t="n"/>
    </row>
    <row r="300" ht="15.75" customHeight="1" s="50">
      <c r="B300" s="49" t="n"/>
      <c r="C300" s="49" t="n"/>
    </row>
    <row r="301" ht="15.75" customHeight="1" s="50">
      <c r="B301" s="49" t="n"/>
      <c r="C301" s="49" t="n"/>
    </row>
    <row r="302" ht="15.75" customHeight="1" s="50">
      <c r="B302" s="49" t="n"/>
      <c r="C302" s="49" t="n"/>
    </row>
    <row r="303" ht="15.75" customHeight="1" s="50">
      <c r="B303" s="49" t="n"/>
      <c r="C303" s="49" t="n"/>
    </row>
    <row r="304" ht="15.75" customHeight="1" s="50">
      <c r="B304" s="49" t="n"/>
      <c r="C304" s="49" t="n"/>
    </row>
    <row r="305" ht="15.75" customHeight="1" s="50">
      <c r="B305" s="49" t="n"/>
      <c r="C305" s="49" t="n"/>
    </row>
    <row r="306" ht="15.75" customHeight="1" s="50">
      <c r="B306" s="49" t="n"/>
      <c r="C306" s="49" t="n"/>
    </row>
    <row r="307" ht="15.75" customHeight="1" s="50">
      <c r="B307" s="49" t="n"/>
      <c r="C307" s="49" t="n"/>
    </row>
    <row r="308" ht="15.75" customHeight="1" s="50">
      <c r="B308" s="49" t="n"/>
      <c r="C308" s="49" t="n"/>
    </row>
    <row r="309" ht="15.75" customHeight="1" s="50">
      <c r="B309" s="49" t="n"/>
      <c r="C309" s="49" t="n"/>
    </row>
    <row r="310" ht="15.75" customHeight="1" s="50">
      <c r="B310" s="49" t="n"/>
      <c r="C310" s="49" t="n"/>
    </row>
    <row r="311" ht="15.75" customHeight="1" s="50">
      <c r="B311" s="49" t="n"/>
      <c r="C311" s="49" t="n"/>
    </row>
    <row r="312" ht="15.75" customHeight="1" s="50">
      <c r="B312" s="49" t="n"/>
      <c r="C312" s="49" t="n"/>
    </row>
    <row r="313" ht="15.75" customHeight="1" s="50">
      <c r="B313" s="49" t="n"/>
      <c r="C313" s="49" t="n"/>
    </row>
    <row r="314" ht="15.75" customHeight="1" s="50">
      <c r="B314" s="49" t="n"/>
      <c r="C314" s="49" t="n"/>
    </row>
    <row r="315" ht="15.75" customHeight="1" s="50">
      <c r="B315" s="49" t="n"/>
      <c r="C315" s="49" t="n"/>
    </row>
    <row r="316" ht="15.75" customHeight="1" s="50">
      <c r="B316" s="49" t="n"/>
      <c r="C316" s="49" t="n"/>
    </row>
    <row r="317" ht="15.75" customHeight="1" s="50">
      <c r="B317" s="49" t="n"/>
      <c r="C317" s="49" t="n"/>
    </row>
    <row r="318" ht="15.75" customHeight="1" s="50">
      <c r="B318" s="49" t="n"/>
      <c r="C318" s="49" t="n"/>
    </row>
    <row r="319" ht="15.75" customHeight="1" s="50">
      <c r="B319" s="49" t="n"/>
      <c r="C319" s="49" t="n"/>
    </row>
    <row r="320" ht="15.75" customHeight="1" s="50">
      <c r="B320" s="49" t="n"/>
      <c r="C320" s="49" t="n"/>
    </row>
    <row r="321" ht="15.75" customHeight="1" s="50">
      <c r="B321" s="49" t="n"/>
      <c r="C321" s="49" t="n"/>
    </row>
    <row r="322" ht="15.75" customHeight="1" s="50">
      <c r="B322" s="49" t="n"/>
      <c r="C322" s="49" t="n"/>
    </row>
    <row r="323" ht="15.75" customHeight="1" s="50">
      <c r="B323" s="49" t="n"/>
      <c r="C323" s="49" t="n"/>
    </row>
    <row r="324" ht="15.75" customHeight="1" s="50">
      <c r="B324" s="49" t="n"/>
      <c r="C324" s="49" t="n"/>
    </row>
    <row r="325" ht="15.75" customHeight="1" s="50">
      <c r="B325" s="49" t="n"/>
      <c r="C325" s="49" t="n"/>
    </row>
    <row r="326" ht="15.75" customHeight="1" s="50">
      <c r="B326" s="49" t="n"/>
      <c r="C326" s="49" t="n"/>
    </row>
    <row r="327" ht="15.75" customHeight="1" s="50">
      <c r="B327" s="49" t="n"/>
      <c r="C327" s="49" t="n"/>
    </row>
    <row r="328" ht="15.75" customHeight="1" s="50">
      <c r="B328" s="49" t="n"/>
      <c r="C328" s="49" t="n"/>
    </row>
    <row r="329" ht="15.75" customHeight="1" s="50">
      <c r="B329" s="49" t="n"/>
      <c r="C329" s="49" t="n"/>
    </row>
    <row r="330" ht="15.75" customHeight="1" s="50">
      <c r="B330" s="49" t="n"/>
      <c r="C330" s="49" t="n"/>
    </row>
    <row r="331" ht="15.75" customHeight="1" s="50">
      <c r="B331" s="49" t="n"/>
      <c r="C331" s="49" t="n"/>
    </row>
    <row r="332" ht="15.75" customHeight="1" s="50">
      <c r="B332" s="49" t="n"/>
      <c r="C332" s="49" t="n"/>
    </row>
    <row r="333" ht="15.75" customHeight="1" s="50">
      <c r="B333" s="49" t="n"/>
      <c r="C333" s="49" t="n"/>
    </row>
    <row r="334" ht="15.75" customHeight="1" s="50">
      <c r="B334" s="49" t="n"/>
      <c r="C334" s="49" t="n"/>
    </row>
    <row r="335" ht="15.75" customHeight="1" s="50">
      <c r="B335" s="49" t="n"/>
      <c r="C335" s="49" t="n"/>
    </row>
    <row r="336" ht="15.75" customHeight="1" s="50">
      <c r="B336" s="49" t="n"/>
      <c r="C336" s="49" t="n"/>
    </row>
    <row r="337" ht="15.75" customHeight="1" s="50">
      <c r="B337" s="49" t="n"/>
      <c r="C337" s="49" t="n"/>
    </row>
    <row r="338" ht="15.75" customHeight="1" s="50">
      <c r="B338" s="49" t="n"/>
      <c r="C338" s="49" t="n"/>
    </row>
    <row r="339" ht="15.75" customHeight="1" s="50">
      <c r="B339" s="49" t="n"/>
      <c r="C339" s="49" t="n"/>
    </row>
    <row r="340" ht="15.75" customHeight="1" s="50">
      <c r="B340" s="49" t="n"/>
      <c r="C340" s="49" t="n"/>
    </row>
    <row r="341" ht="15.75" customHeight="1" s="50">
      <c r="B341" s="49" t="n"/>
      <c r="C341" s="49" t="n"/>
    </row>
    <row r="342" ht="15.75" customHeight="1" s="50">
      <c r="B342" s="49" t="n"/>
      <c r="C342" s="49" t="n"/>
    </row>
    <row r="343" ht="15.75" customHeight="1" s="50">
      <c r="B343" s="49" t="n"/>
      <c r="C343" s="49" t="n"/>
    </row>
    <row r="344" ht="15.75" customHeight="1" s="50">
      <c r="B344" s="49" t="n"/>
      <c r="C344" s="49" t="n"/>
    </row>
    <row r="345" ht="15.75" customHeight="1" s="50">
      <c r="B345" s="49" t="n"/>
      <c r="C345" s="49" t="n"/>
    </row>
    <row r="346" ht="15.75" customHeight="1" s="50">
      <c r="B346" s="49" t="n"/>
      <c r="C346" s="49" t="n"/>
    </row>
    <row r="347" ht="15.75" customHeight="1" s="50">
      <c r="B347" s="49" t="n"/>
      <c r="C347" s="49" t="n"/>
    </row>
    <row r="348" ht="15.75" customHeight="1" s="50">
      <c r="B348" s="49" t="n"/>
      <c r="C348" s="49" t="n"/>
    </row>
    <row r="349" ht="15.75" customHeight="1" s="50">
      <c r="B349" s="49" t="n"/>
      <c r="C349" s="49" t="n"/>
    </row>
    <row r="350" ht="15.75" customHeight="1" s="50">
      <c r="B350" s="49" t="n"/>
      <c r="C350" s="49" t="n"/>
    </row>
    <row r="351" ht="15.75" customHeight="1" s="50">
      <c r="B351" s="49" t="n"/>
      <c r="C351" s="49" t="n"/>
    </row>
    <row r="352" ht="15.75" customHeight="1" s="50">
      <c r="B352" s="49" t="n"/>
      <c r="C352" s="49" t="n"/>
    </row>
    <row r="353" ht="15.75" customHeight="1" s="50">
      <c r="B353" s="49" t="n"/>
      <c r="C353" s="49" t="n"/>
    </row>
    <row r="354" ht="15.75" customHeight="1" s="50">
      <c r="B354" s="49" t="n"/>
      <c r="C354" s="49" t="n"/>
    </row>
    <row r="355" ht="15.75" customHeight="1" s="50">
      <c r="B355" s="49" t="n"/>
      <c r="C355" s="49" t="n"/>
    </row>
    <row r="356" ht="15.75" customHeight="1" s="50">
      <c r="B356" s="49" t="n"/>
      <c r="C356" s="49" t="n"/>
    </row>
    <row r="357" ht="15.75" customHeight="1" s="50">
      <c r="B357" s="49" t="n"/>
      <c r="C357" s="49" t="n"/>
    </row>
    <row r="358" ht="15.75" customHeight="1" s="50">
      <c r="B358" s="49" t="n"/>
      <c r="C358" s="49" t="n"/>
    </row>
    <row r="359" ht="15.75" customHeight="1" s="50">
      <c r="B359" s="49" t="n"/>
      <c r="C359" s="49" t="n"/>
    </row>
    <row r="360" ht="15.75" customHeight="1" s="50">
      <c r="B360" s="49" t="n"/>
      <c r="C360" s="49" t="n"/>
    </row>
    <row r="361" ht="15.75" customHeight="1" s="50">
      <c r="B361" s="49" t="n"/>
      <c r="C361" s="49" t="n"/>
    </row>
    <row r="362" ht="15.75" customHeight="1" s="50">
      <c r="B362" s="49" t="n"/>
      <c r="C362" s="49" t="n"/>
    </row>
    <row r="363" ht="15.75" customHeight="1" s="50">
      <c r="B363" s="49" t="n"/>
      <c r="C363" s="49" t="n"/>
    </row>
    <row r="364" ht="15.75" customHeight="1" s="50">
      <c r="B364" s="49" t="n"/>
      <c r="C364" s="49" t="n"/>
    </row>
    <row r="365" ht="15.75" customHeight="1" s="50">
      <c r="B365" s="49" t="n"/>
      <c r="C365" s="49" t="n"/>
    </row>
    <row r="366" ht="15.75" customHeight="1" s="50">
      <c r="B366" s="49" t="n"/>
      <c r="C366" s="49" t="n"/>
    </row>
    <row r="367" ht="15.75" customHeight="1" s="50">
      <c r="B367" s="49" t="n"/>
      <c r="C367" s="49" t="n"/>
    </row>
    <row r="368" ht="15.75" customHeight="1" s="50">
      <c r="B368" s="49" t="n"/>
      <c r="C368" s="49" t="n"/>
    </row>
    <row r="369" ht="15.75" customHeight="1" s="50">
      <c r="B369" s="49" t="n"/>
      <c r="C369" s="49" t="n"/>
    </row>
    <row r="370" ht="15.75" customHeight="1" s="50">
      <c r="B370" s="49" t="n"/>
      <c r="C370" s="49" t="n"/>
    </row>
    <row r="371" ht="15.75" customHeight="1" s="50">
      <c r="B371" s="49" t="n"/>
      <c r="C371" s="49" t="n"/>
    </row>
    <row r="372" ht="15.75" customHeight="1" s="50">
      <c r="B372" s="49" t="n"/>
      <c r="C372" s="49" t="n"/>
    </row>
    <row r="373" ht="15.75" customHeight="1" s="50">
      <c r="B373" s="49" t="n"/>
      <c r="C373" s="49" t="n"/>
    </row>
    <row r="374" ht="15.75" customHeight="1" s="50">
      <c r="B374" s="49" t="n"/>
      <c r="C374" s="49" t="n"/>
    </row>
    <row r="375" ht="15.75" customHeight="1" s="50">
      <c r="B375" s="49" t="n"/>
      <c r="C375" s="49" t="n"/>
    </row>
    <row r="376" ht="15.75" customHeight="1" s="50">
      <c r="B376" s="49" t="n"/>
      <c r="C376" s="49" t="n"/>
    </row>
    <row r="377" ht="15.75" customHeight="1" s="50">
      <c r="B377" s="49" t="n"/>
      <c r="C377" s="49" t="n"/>
    </row>
    <row r="378" ht="15.75" customHeight="1" s="50">
      <c r="B378" s="49" t="n"/>
      <c r="C378" s="49" t="n"/>
    </row>
    <row r="379" ht="15.75" customHeight="1" s="50">
      <c r="B379" s="49" t="n"/>
      <c r="C379" s="49" t="n"/>
    </row>
    <row r="380" ht="15.75" customHeight="1" s="50">
      <c r="B380" s="49" t="n"/>
      <c r="C380" s="49" t="n"/>
    </row>
    <row r="381" ht="15.75" customHeight="1" s="50">
      <c r="B381" s="49" t="n"/>
      <c r="C381" s="49" t="n"/>
    </row>
    <row r="382" ht="15.75" customHeight="1" s="50">
      <c r="B382" s="49" t="n"/>
      <c r="C382" s="49" t="n"/>
    </row>
    <row r="383" ht="15.75" customHeight="1" s="50">
      <c r="B383" s="49" t="n"/>
      <c r="C383" s="49" t="n"/>
    </row>
    <row r="384" ht="15.75" customHeight="1" s="50">
      <c r="B384" s="49" t="n"/>
      <c r="C384" s="49" t="n"/>
    </row>
    <row r="385" ht="15.75" customHeight="1" s="50">
      <c r="B385" s="49" t="n"/>
      <c r="C385" s="49" t="n"/>
    </row>
    <row r="386" ht="15.75" customHeight="1" s="50">
      <c r="B386" s="49" t="n"/>
      <c r="C386" s="49" t="n"/>
    </row>
    <row r="387" ht="15.75" customHeight="1" s="50">
      <c r="B387" s="49" t="n"/>
      <c r="C387" s="49" t="n"/>
    </row>
    <row r="388" ht="15.75" customHeight="1" s="50">
      <c r="B388" s="49" t="n"/>
      <c r="C388" s="49" t="n"/>
    </row>
    <row r="389" ht="15.75" customHeight="1" s="50">
      <c r="B389" s="49" t="n"/>
      <c r="C389" s="49" t="n"/>
    </row>
    <row r="390" ht="15.75" customHeight="1" s="50">
      <c r="B390" s="49" t="n"/>
      <c r="C390" s="49" t="n"/>
    </row>
    <row r="391" ht="15.75" customHeight="1" s="50">
      <c r="B391" s="49" t="n"/>
      <c r="C391" s="49" t="n"/>
    </row>
    <row r="392" ht="15.75" customHeight="1" s="50">
      <c r="B392" s="49" t="n"/>
      <c r="C392" s="49" t="n"/>
    </row>
    <row r="393" ht="15.75" customHeight="1" s="50">
      <c r="B393" s="49" t="n"/>
      <c r="C393" s="49" t="n"/>
    </row>
    <row r="394" ht="15.75" customHeight="1" s="50">
      <c r="B394" s="49" t="n"/>
      <c r="C394" s="49" t="n"/>
    </row>
    <row r="395" ht="15.75" customHeight="1" s="50">
      <c r="B395" s="49" t="n"/>
      <c r="C395" s="49" t="n"/>
    </row>
    <row r="396" ht="15.75" customHeight="1" s="50">
      <c r="B396" s="49" t="n"/>
      <c r="C396" s="49" t="n"/>
    </row>
    <row r="397" ht="15.75" customHeight="1" s="50">
      <c r="B397" s="49" t="n"/>
      <c r="C397" s="49" t="n"/>
    </row>
    <row r="398" ht="15.75" customHeight="1" s="50">
      <c r="B398" s="49" t="n"/>
      <c r="C398" s="49" t="n"/>
    </row>
    <row r="399" ht="15.75" customHeight="1" s="50">
      <c r="B399" s="49" t="n"/>
      <c r="C399" s="49" t="n"/>
    </row>
    <row r="400" ht="15.75" customHeight="1" s="50">
      <c r="B400" s="49" t="n"/>
      <c r="C400" s="49" t="n"/>
    </row>
    <row r="401" ht="15.75" customHeight="1" s="50">
      <c r="B401" s="49" t="n"/>
      <c r="C401" s="49" t="n"/>
    </row>
    <row r="402" ht="15.75" customHeight="1" s="50">
      <c r="B402" s="49" t="n"/>
      <c r="C402" s="49" t="n"/>
    </row>
    <row r="403" ht="15.75" customHeight="1" s="50">
      <c r="B403" s="49" t="n"/>
      <c r="C403" s="49" t="n"/>
    </row>
    <row r="404" ht="15.75" customHeight="1" s="50">
      <c r="B404" s="49" t="n"/>
      <c r="C404" s="49" t="n"/>
    </row>
    <row r="405" ht="15.75" customHeight="1" s="50">
      <c r="B405" s="49" t="n"/>
      <c r="C405" s="49" t="n"/>
    </row>
    <row r="406" ht="15.75" customHeight="1" s="50">
      <c r="B406" s="49" t="n"/>
      <c r="C406" s="49" t="n"/>
    </row>
    <row r="407" ht="15.75" customHeight="1" s="50">
      <c r="B407" s="49" t="n"/>
      <c r="C407" s="49" t="n"/>
    </row>
    <row r="408" ht="15.75" customHeight="1" s="50">
      <c r="B408" s="49" t="n"/>
      <c r="C408" s="49" t="n"/>
    </row>
    <row r="409" ht="15.75" customHeight="1" s="50">
      <c r="B409" s="49" t="n"/>
      <c r="C409" s="49" t="n"/>
    </row>
    <row r="410" ht="15.75" customHeight="1" s="50">
      <c r="B410" s="49" t="n"/>
      <c r="C410" s="49" t="n"/>
    </row>
    <row r="411" ht="15.75" customHeight="1" s="50">
      <c r="B411" s="49" t="n"/>
      <c r="C411" s="49" t="n"/>
    </row>
    <row r="412" ht="15.75" customHeight="1" s="50">
      <c r="B412" s="49" t="n"/>
      <c r="C412" s="49" t="n"/>
    </row>
    <row r="413" ht="15.75" customHeight="1" s="50">
      <c r="B413" s="49" t="n"/>
      <c r="C413" s="49" t="n"/>
    </row>
    <row r="414" ht="15.75" customHeight="1" s="50">
      <c r="B414" s="49" t="n"/>
      <c r="C414" s="49" t="n"/>
    </row>
    <row r="415" ht="15.75" customHeight="1" s="50">
      <c r="B415" s="49" t="n"/>
      <c r="C415" s="49" t="n"/>
    </row>
    <row r="416" ht="15.75" customHeight="1" s="50">
      <c r="B416" s="49" t="n"/>
      <c r="C416" s="49" t="n"/>
    </row>
    <row r="417" ht="15.75" customHeight="1" s="50">
      <c r="B417" s="49" t="n"/>
      <c r="C417" s="49" t="n"/>
    </row>
    <row r="418" ht="15.75" customHeight="1" s="50">
      <c r="B418" s="49" t="n"/>
      <c r="C418" s="49" t="n"/>
    </row>
    <row r="419" ht="15.75" customHeight="1" s="50">
      <c r="B419" s="49" t="n"/>
      <c r="C419" s="49" t="n"/>
    </row>
    <row r="420" ht="15.75" customHeight="1" s="50">
      <c r="B420" s="49" t="n"/>
      <c r="C420" s="49" t="n"/>
    </row>
    <row r="421" ht="15.75" customHeight="1" s="50">
      <c r="B421" s="49" t="n"/>
      <c r="C421" s="49" t="n"/>
    </row>
    <row r="422" ht="15.75" customHeight="1" s="50">
      <c r="B422" s="49" t="n"/>
      <c r="C422" s="49" t="n"/>
    </row>
    <row r="423" ht="15.75" customHeight="1" s="50">
      <c r="B423" s="49" t="n"/>
      <c r="C423" s="49" t="n"/>
    </row>
    <row r="424" ht="15.75" customHeight="1" s="50">
      <c r="B424" s="49" t="n"/>
      <c r="C424" s="49" t="n"/>
    </row>
    <row r="425" ht="15.75" customHeight="1" s="50">
      <c r="B425" s="49" t="n"/>
      <c r="C425" s="49" t="n"/>
    </row>
    <row r="426" ht="15.75" customHeight="1" s="50">
      <c r="B426" s="49" t="n"/>
      <c r="C426" s="49" t="n"/>
    </row>
    <row r="427" ht="15.75" customHeight="1" s="50">
      <c r="B427" s="49" t="n"/>
      <c r="C427" s="49" t="n"/>
    </row>
    <row r="428" ht="15.75" customHeight="1" s="50">
      <c r="B428" s="49" t="n"/>
      <c r="C428" s="49" t="n"/>
    </row>
    <row r="429" ht="15.75" customHeight="1" s="50">
      <c r="B429" s="49" t="n"/>
      <c r="C429" s="49" t="n"/>
    </row>
    <row r="430" ht="15.75" customHeight="1" s="50">
      <c r="B430" s="49" t="n"/>
      <c r="C430" s="49" t="n"/>
    </row>
    <row r="431" ht="15.75" customHeight="1" s="50">
      <c r="B431" s="49" t="n"/>
      <c r="C431" s="49" t="n"/>
    </row>
    <row r="432" ht="15.75" customHeight="1" s="50">
      <c r="B432" s="49" t="n"/>
      <c r="C432" s="49" t="n"/>
    </row>
    <row r="433" ht="15.75" customHeight="1" s="50">
      <c r="B433" s="49" t="n"/>
      <c r="C433" s="49" t="n"/>
    </row>
    <row r="434" ht="15.75" customHeight="1" s="50">
      <c r="B434" s="49" t="n"/>
      <c r="C434" s="49" t="n"/>
    </row>
    <row r="435" ht="15.75" customHeight="1" s="50">
      <c r="B435" s="49" t="n"/>
      <c r="C435" s="49" t="n"/>
    </row>
    <row r="436" ht="15.75" customHeight="1" s="50">
      <c r="B436" s="49" t="n"/>
      <c r="C436" s="49" t="n"/>
    </row>
    <row r="437" ht="15.75" customHeight="1" s="50">
      <c r="B437" s="49" t="n"/>
      <c r="C437" s="49" t="n"/>
    </row>
    <row r="438" ht="15.75" customHeight="1" s="50">
      <c r="B438" s="49" t="n"/>
      <c r="C438" s="49" t="n"/>
    </row>
    <row r="439" ht="15.75" customHeight="1" s="50">
      <c r="B439" s="49" t="n"/>
      <c r="C439" s="49" t="n"/>
    </row>
    <row r="440" ht="15.75" customHeight="1" s="50">
      <c r="B440" s="49" t="n"/>
      <c r="C440" s="49" t="n"/>
    </row>
    <row r="441" ht="15.75" customHeight="1" s="50">
      <c r="B441" s="49" t="n"/>
      <c r="C441" s="49" t="n"/>
    </row>
    <row r="442" ht="15.75" customHeight="1" s="50">
      <c r="B442" s="49" t="n"/>
      <c r="C442" s="49" t="n"/>
    </row>
    <row r="443" ht="15.75" customHeight="1" s="50">
      <c r="B443" s="49" t="n"/>
      <c r="C443" s="49" t="n"/>
    </row>
    <row r="444" ht="15.75" customHeight="1" s="50">
      <c r="B444" s="49" t="n"/>
      <c r="C444" s="49" t="n"/>
    </row>
    <row r="445" ht="15.75" customHeight="1" s="50">
      <c r="B445" s="49" t="n"/>
      <c r="C445" s="49" t="n"/>
    </row>
    <row r="446" ht="15.75" customHeight="1" s="50">
      <c r="B446" s="49" t="n"/>
      <c r="C446" s="49" t="n"/>
    </row>
    <row r="447" ht="15.75" customHeight="1" s="50">
      <c r="B447" s="49" t="n"/>
      <c r="C447" s="49" t="n"/>
    </row>
    <row r="448" ht="15.75" customHeight="1" s="50">
      <c r="B448" s="49" t="n"/>
      <c r="C448" s="49" t="n"/>
    </row>
    <row r="449" ht="15.75" customHeight="1" s="50">
      <c r="B449" s="49" t="n"/>
      <c r="C449" s="49" t="n"/>
    </row>
    <row r="450" ht="15.75" customHeight="1" s="50">
      <c r="B450" s="49" t="n"/>
      <c r="C450" s="49" t="n"/>
    </row>
    <row r="451" ht="15.75" customHeight="1" s="50">
      <c r="B451" s="49" t="n"/>
      <c r="C451" s="49" t="n"/>
    </row>
    <row r="452" ht="15.75" customHeight="1" s="50">
      <c r="B452" s="49" t="n"/>
      <c r="C452" s="49" t="n"/>
    </row>
    <row r="453" ht="15.75" customHeight="1" s="50">
      <c r="B453" s="49" t="n"/>
      <c r="C453" s="49" t="n"/>
    </row>
    <row r="454" ht="15.75" customHeight="1" s="50">
      <c r="B454" s="49" t="n"/>
      <c r="C454" s="49" t="n"/>
    </row>
    <row r="455" ht="15.75" customHeight="1" s="50">
      <c r="B455" s="49" t="n"/>
      <c r="C455" s="49" t="n"/>
    </row>
    <row r="456" ht="15.75" customHeight="1" s="50">
      <c r="B456" s="49" t="n"/>
      <c r="C456" s="49" t="n"/>
    </row>
    <row r="457" ht="15.75" customHeight="1" s="50">
      <c r="B457" s="49" t="n"/>
      <c r="C457" s="49" t="n"/>
    </row>
    <row r="458" ht="15.75" customHeight="1" s="50">
      <c r="B458" s="49" t="n"/>
      <c r="C458" s="49" t="n"/>
    </row>
    <row r="459" ht="15.75" customHeight="1" s="50">
      <c r="B459" s="49" t="n"/>
      <c r="C459" s="49" t="n"/>
    </row>
    <row r="460" ht="15.75" customHeight="1" s="50">
      <c r="B460" s="49" t="n"/>
      <c r="C460" s="49" t="n"/>
    </row>
    <row r="461" ht="15.75" customHeight="1" s="50">
      <c r="B461" s="49" t="n"/>
      <c r="C461" s="49" t="n"/>
    </row>
    <row r="462" ht="15.75" customHeight="1" s="50">
      <c r="B462" s="49" t="n"/>
      <c r="C462" s="49" t="n"/>
    </row>
    <row r="463" ht="15.75" customHeight="1" s="50">
      <c r="B463" s="49" t="n"/>
      <c r="C463" s="49" t="n"/>
    </row>
    <row r="464" ht="15.75" customHeight="1" s="50">
      <c r="B464" s="49" t="n"/>
      <c r="C464" s="49" t="n"/>
    </row>
    <row r="465" ht="15.75" customHeight="1" s="50">
      <c r="B465" s="49" t="n"/>
      <c r="C465" s="49" t="n"/>
    </row>
    <row r="466" ht="15.75" customHeight="1" s="50">
      <c r="B466" s="49" t="n"/>
      <c r="C466" s="49" t="n"/>
    </row>
    <row r="467" ht="15.75" customHeight="1" s="50">
      <c r="B467" s="49" t="n"/>
      <c r="C467" s="49" t="n"/>
    </row>
    <row r="468" ht="15.75" customHeight="1" s="50">
      <c r="B468" s="49" t="n"/>
      <c r="C468" s="49" t="n"/>
    </row>
    <row r="469" ht="15.75" customHeight="1" s="50">
      <c r="B469" s="49" t="n"/>
      <c r="C469" s="49" t="n"/>
    </row>
    <row r="470" ht="15.75" customHeight="1" s="50">
      <c r="B470" s="49" t="n"/>
      <c r="C470" s="49" t="n"/>
    </row>
    <row r="471" ht="15.75" customHeight="1" s="50">
      <c r="B471" s="49" t="n"/>
      <c r="C471" s="49" t="n"/>
    </row>
    <row r="472" ht="15.75" customHeight="1" s="50">
      <c r="B472" s="49" t="n"/>
      <c r="C472" s="49" t="n"/>
    </row>
    <row r="473" ht="15.75" customHeight="1" s="50">
      <c r="B473" s="49" t="n"/>
      <c r="C473" s="49" t="n"/>
    </row>
    <row r="474" ht="15.75" customHeight="1" s="50">
      <c r="B474" s="49" t="n"/>
      <c r="C474" s="49" t="n"/>
    </row>
    <row r="475" ht="15.75" customHeight="1" s="50">
      <c r="B475" s="49" t="n"/>
      <c r="C475" s="49" t="n"/>
    </row>
    <row r="476" ht="15.75" customHeight="1" s="50">
      <c r="B476" s="49" t="n"/>
      <c r="C476" s="49" t="n"/>
    </row>
    <row r="477" ht="15.75" customHeight="1" s="50">
      <c r="B477" s="49" t="n"/>
      <c r="C477" s="49" t="n"/>
    </row>
    <row r="478" ht="15.75" customHeight="1" s="50">
      <c r="B478" s="49" t="n"/>
      <c r="C478" s="49" t="n"/>
    </row>
    <row r="479" ht="15.75" customHeight="1" s="50">
      <c r="B479" s="49" t="n"/>
      <c r="C479" s="49" t="n"/>
    </row>
    <row r="480" ht="15.75" customHeight="1" s="50">
      <c r="B480" s="49" t="n"/>
      <c r="C480" s="49" t="n"/>
    </row>
    <row r="481" ht="15.75" customHeight="1" s="50">
      <c r="B481" s="49" t="n"/>
      <c r="C481" s="49" t="n"/>
    </row>
    <row r="482" ht="15.75" customHeight="1" s="50">
      <c r="B482" s="49" t="n"/>
      <c r="C482" s="49" t="n"/>
    </row>
    <row r="483" ht="15.75" customHeight="1" s="50">
      <c r="B483" s="49" t="n"/>
      <c r="C483" s="49" t="n"/>
    </row>
    <row r="484" ht="15.75" customHeight="1" s="50">
      <c r="B484" s="49" t="n"/>
      <c r="C484" s="49" t="n"/>
    </row>
    <row r="485" ht="15.75" customHeight="1" s="50">
      <c r="B485" s="49" t="n"/>
      <c r="C485" s="49" t="n"/>
    </row>
    <row r="486" ht="15.75" customHeight="1" s="50">
      <c r="B486" s="49" t="n"/>
      <c r="C486" s="49" t="n"/>
    </row>
    <row r="487" ht="15.75" customHeight="1" s="50">
      <c r="B487" s="49" t="n"/>
      <c r="C487" s="49" t="n"/>
    </row>
    <row r="488" ht="15.75" customHeight="1" s="50">
      <c r="B488" s="49" t="n"/>
      <c r="C488" s="49" t="n"/>
    </row>
    <row r="489" ht="15.75" customHeight="1" s="50">
      <c r="B489" s="49" t="n"/>
      <c r="C489" s="49" t="n"/>
    </row>
    <row r="490" ht="15.75" customHeight="1" s="50">
      <c r="B490" s="49" t="n"/>
      <c r="C490" s="49" t="n"/>
    </row>
    <row r="491" ht="15.75" customHeight="1" s="50">
      <c r="B491" s="49" t="n"/>
      <c r="C491" s="49" t="n"/>
    </row>
    <row r="492" ht="15.75" customHeight="1" s="50">
      <c r="B492" s="49" t="n"/>
      <c r="C492" s="49" t="n"/>
    </row>
    <row r="493" ht="15.75" customHeight="1" s="50">
      <c r="B493" s="49" t="n"/>
      <c r="C493" s="49" t="n"/>
    </row>
    <row r="494" ht="15.75" customHeight="1" s="50">
      <c r="B494" s="49" t="n"/>
      <c r="C494" s="49" t="n"/>
    </row>
    <row r="495" ht="15.75" customHeight="1" s="50">
      <c r="B495" s="49" t="n"/>
      <c r="C495" s="49" t="n"/>
    </row>
    <row r="496" ht="15.75" customHeight="1" s="50">
      <c r="B496" s="49" t="n"/>
      <c r="C496" s="49" t="n"/>
    </row>
    <row r="497" ht="15.75" customHeight="1" s="50">
      <c r="B497" s="49" t="n"/>
      <c r="C497" s="49" t="n"/>
    </row>
    <row r="498" ht="15.75" customHeight="1" s="50">
      <c r="B498" s="49" t="n"/>
      <c r="C498" s="49" t="n"/>
    </row>
    <row r="499" ht="15.75" customHeight="1" s="50">
      <c r="B499" s="49" t="n"/>
      <c r="C499" s="49" t="n"/>
    </row>
    <row r="500" ht="15.75" customHeight="1" s="50">
      <c r="B500" s="49" t="n"/>
      <c r="C500" s="49" t="n"/>
    </row>
    <row r="501" ht="15.75" customHeight="1" s="50">
      <c r="B501" s="49" t="n"/>
      <c r="C501" s="49" t="n"/>
    </row>
    <row r="502" ht="15.75" customHeight="1" s="50">
      <c r="B502" s="49" t="n"/>
      <c r="C502" s="49" t="n"/>
    </row>
    <row r="503" ht="15.75" customHeight="1" s="50">
      <c r="B503" s="49" t="n"/>
      <c r="C503" s="49" t="n"/>
    </row>
    <row r="504" ht="15.75" customHeight="1" s="50">
      <c r="B504" s="49" t="n"/>
      <c r="C504" s="49" t="n"/>
    </row>
    <row r="505" ht="15.75" customHeight="1" s="50">
      <c r="B505" s="49" t="n"/>
      <c r="C505" s="49" t="n"/>
    </row>
    <row r="506" ht="15.75" customHeight="1" s="50">
      <c r="B506" s="49" t="n"/>
      <c r="C506" s="49" t="n"/>
    </row>
    <row r="507" ht="15.75" customHeight="1" s="50">
      <c r="B507" s="49" t="n"/>
      <c r="C507" s="49" t="n"/>
    </row>
    <row r="508" ht="15.75" customHeight="1" s="50">
      <c r="B508" s="49" t="n"/>
      <c r="C508" s="49" t="n"/>
    </row>
    <row r="509" ht="15.75" customHeight="1" s="50">
      <c r="B509" s="49" t="n"/>
      <c r="C509" s="49" t="n"/>
    </row>
    <row r="510" ht="15.75" customHeight="1" s="50">
      <c r="B510" s="49" t="n"/>
      <c r="C510" s="49" t="n"/>
    </row>
    <row r="511" ht="15.75" customHeight="1" s="50">
      <c r="B511" s="49" t="n"/>
      <c r="C511" s="49" t="n"/>
    </row>
    <row r="512" ht="15.75" customHeight="1" s="50">
      <c r="B512" s="49" t="n"/>
      <c r="C512" s="49" t="n"/>
    </row>
    <row r="513" ht="15.75" customHeight="1" s="50">
      <c r="B513" s="49" t="n"/>
      <c r="C513" s="49" t="n"/>
    </row>
    <row r="514" ht="15.75" customHeight="1" s="50">
      <c r="B514" s="49" t="n"/>
      <c r="C514" s="49" t="n"/>
    </row>
    <row r="515" ht="15.75" customHeight="1" s="50">
      <c r="B515" s="49" t="n"/>
      <c r="C515" s="49" t="n"/>
    </row>
    <row r="516" ht="15.75" customHeight="1" s="50">
      <c r="B516" s="49" t="n"/>
      <c r="C516" s="49" t="n"/>
    </row>
    <row r="517" ht="15.75" customHeight="1" s="50">
      <c r="B517" s="49" t="n"/>
      <c r="C517" s="49" t="n"/>
    </row>
    <row r="518" ht="15.75" customHeight="1" s="50">
      <c r="B518" s="49" t="n"/>
      <c r="C518" s="49" t="n"/>
    </row>
    <row r="519" ht="15.75" customHeight="1" s="50">
      <c r="B519" s="49" t="n"/>
      <c r="C519" s="49" t="n"/>
    </row>
    <row r="520" ht="15.75" customHeight="1" s="50">
      <c r="B520" s="49" t="n"/>
      <c r="C520" s="49" t="n"/>
    </row>
    <row r="521" ht="15.75" customHeight="1" s="50">
      <c r="B521" s="49" t="n"/>
      <c r="C521" s="49" t="n"/>
    </row>
    <row r="522" ht="15.75" customHeight="1" s="50">
      <c r="B522" s="49" t="n"/>
      <c r="C522" s="49" t="n"/>
    </row>
    <row r="523" ht="15.75" customHeight="1" s="50">
      <c r="B523" s="49" t="n"/>
      <c r="C523" s="49" t="n"/>
    </row>
    <row r="524" ht="15.75" customHeight="1" s="50">
      <c r="B524" s="49" t="n"/>
      <c r="C524" s="49" t="n"/>
    </row>
    <row r="525" ht="15.75" customHeight="1" s="50">
      <c r="B525" s="49" t="n"/>
      <c r="C525" s="49" t="n"/>
    </row>
    <row r="526" ht="15.75" customHeight="1" s="50">
      <c r="B526" s="49" t="n"/>
      <c r="C526" s="49" t="n"/>
    </row>
    <row r="527" ht="15.75" customHeight="1" s="50">
      <c r="B527" s="49" t="n"/>
      <c r="C527" s="49" t="n"/>
    </row>
    <row r="528" ht="15.75" customHeight="1" s="50">
      <c r="B528" s="49" t="n"/>
      <c r="C528" s="49" t="n"/>
    </row>
    <row r="529" ht="15.75" customHeight="1" s="50">
      <c r="B529" s="49" t="n"/>
      <c r="C529" s="49" t="n"/>
    </row>
    <row r="530" ht="15.75" customHeight="1" s="50">
      <c r="B530" s="49" t="n"/>
      <c r="C530" s="49" t="n"/>
    </row>
    <row r="531" ht="15.75" customHeight="1" s="50">
      <c r="B531" s="49" t="n"/>
      <c r="C531" s="49" t="n"/>
    </row>
    <row r="532" ht="15.75" customHeight="1" s="50">
      <c r="B532" s="49" t="n"/>
      <c r="C532" s="49" t="n"/>
    </row>
    <row r="533" ht="15.75" customHeight="1" s="50">
      <c r="B533" s="49" t="n"/>
      <c r="C533" s="49" t="n"/>
    </row>
    <row r="534" ht="15.75" customHeight="1" s="50">
      <c r="B534" s="49" t="n"/>
      <c r="C534" s="49" t="n"/>
    </row>
    <row r="535" ht="15.75" customHeight="1" s="50">
      <c r="B535" s="49" t="n"/>
      <c r="C535" s="49" t="n"/>
    </row>
    <row r="536" ht="15.75" customHeight="1" s="50">
      <c r="B536" s="49" t="n"/>
      <c r="C536" s="49" t="n"/>
    </row>
    <row r="537" ht="15.75" customHeight="1" s="50">
      <c r="B537" s="49" t="n"/>
      <c r="C537" s="49" t="n"/>
    </row>
    <row r="538" ht="15.75" customHeight="1" s="50">
      <c r="B538" s="49" t="n"/>
      <c r="C538" s="49" t="n"/>
    </row>
    <row r="539" ht="15.75" customHeight="1" s="50">
      <c r="B539" s="49" t="n"/>
      <c r="C539" s="49" t="n"/>
    </row>
    <row r="540" ht="15.75" customHeight="1" s="50">
      <c r="B540" s="49" t="n"/>
      <c r="C540" s="49" t="n"/>
    </row>
    <row r="541" ht="15.75" customHeight="1" s="50">
      <c r="B541" s="49" t="n"/>
      <c r="C541" s="49" t="n"/>
    </row>
    <row r="542" ht="15.75" customHeight="1" s="50">
      <c r="B542" s="49" t="n"/>
      <c r="C542" s="49" t="n"/>
    </row>
    <row r="543" ht="15.75" customHeight="1" s="50">
      <c r="B543" s="49" t="n"/>
      <c r="C543" s="49" t="n"/>
    </row>
    <row r="544" ht="15.75" customHeight="1" s="50">
      <c r="B544" s="49" t="n"/>
      <c r="C544" s="49" t="n"/>
    </row>
    <row r="545" ht="15.75" customHeight="1" s="50">
      <c r="B545" s="49" t="n"/>
      <c r="C545" s="49" t="n"/>
    </row>
    <row r="546" ht="15.75" customHeight="1" s="50">
      <c r="B546" s="49" t="n"/>
      <c r="C546" s="49" t="n"/>
    </row>
    <row r="547" ht="15.75" customHeight="1" s="50">
      <c r="B547" s="49" t="n"/>
      <c r="C547" s="49" t="n"/>
    </row>
    <row r="548" ht="15.75" customHeight="1" s="50">
      <c r="B548" s="49" t="n"/>
      <c r="C548" s="49" t="n"/>
    </row>
    <row r="549" ht="15.75" customHeight="1" s="50">
      <c r="B549" s="49" t="n"/>
      <c r="C549" s="49" t="n"/>
    </row>
    <row r="550" ht="15.75" customHeight="1" s="50">
      <c r="B550" s="49" t="n"/>
      <c r="C550" s="49" t="n"/>
    </row>
    <row r="551" ht="15.75" customHeight="1" s="50">
      <c r="B551" s="49" t="n"/>
      <c r="C551" s="49" t="n"/>
    </row>
    <row r="552" ht="15.75" customHeight="1" s="50">
      <c r="B552" s="49" t="n"/>
      <c r="C552" s="49" t="n"/>
    </row>
    <row r="553" ht="15.75" customHeight="1" s="50">
      <c r="B553" s="49" t="n"/>
      <c r="C553" s="49" t="n"/>
    </row>
    <row r="554" ht="15.75" customHeight="1" s="50">
      <c r="B554" s="49" t="n"/>
      <c r="C554" s="49" t="n"/>
    </row>
    <row r="555" ht="15.75" customHeight="1" s="50">
      <c r="B555" s="49" t="n"/>
      <c r="C555" s="49" t="n"/>
    </row>
    <row r="556" ht="15.75" customHeight="1" s="50">
      <c r="B556" s="49" t="n"/>
      <c r="C556" s="49" t="n"/>
    </row>
    <row r="557" ht="15.75" customHeight="1" s="50">
      <c r="B557" s="49" t="n"/>
      <c r="C557" s="49" t="n"/>
    </row>
    <row r="558" ht="15.75" customHeight="1" s="50">
      <c r="B558" s="49" t="n"/>
      <c r="C558" s="49" t="n"/>
    </row>
    <row r="559" ht="15.75" customHeight="1" s="50">
      <c r="B559" s="49" t="n"/>
      <c r="C559" s="49" t="n"/>
    </row>
    <row r="560" ht="15.75" customHeight="1" s="50">
      <c r="B560" s="49" t="n"/>
      <c r="C560" s="49" t="n"/>
    </row>
    <row r="561" ht="15.75" customHeight="1" s="50">
      <c r="B561" s="49" t="n"/>
      <c r="C561" s="49" t="n"/>
    </row>
    <row r="562" ht="15.75" customHeight="1" s="50">
      <c r="B562" s="49" t="n"/>
      <c r="C562" s="49" t="n"/>
    </row>
    <row r="563" ht="15.75" customHeight="1" s="50">
      <c r="B563" s="49" t="n"/>
      <c r="C563" s="49" t="n"/>
    </row>
    <row r="564" ht="15.75" customHeight="1" s="50">
      <c r="B564" s="49" t="n"/>
      <c r="C564" s="49" t="n"/>
    </row>
    <row r="565" ht="15.75" customHeight="1" s="50">
      <c r="B565" s="49" t="n"/>
      <c r="C565" s="49" t="n"/>
    </row>
    <row r="566" ht="15.75" customHeight="1" s="50">
      <c r="B566" s="49" t="n"/>
      <c r="C566" s="49" t="n"/>
    </row>
    <row r="567" ht="15.75" customHeight="1" s="50">
      <c r="B567" s="49" t="n"/>
      <c r="C567" s="49" t="n"/>
    </row>
    <row r="568" ht="15.75" customHeight="1" s="50">
      <c r="B568" s="49" t="n"/>
      <c r="C568" s="49" t="n"/>
    </row>
    <row r="569" ht="15.75" customHeight="1" s="50">
      <c r="B569" s="49" t="n"/>
      <c r="C569" s="49" t="n"/>
    </row>
    <row r="570" ht="15.75" customHeight="1" s="50">
      <c r="B570" s="49" t="n"/>
      <c r="C570" s="49" t="n"/>
    </row>
    <row r="571" ht="15.75" customHeight="1" s="50">
      <c r="B571" s="49" t="n"/>
      <c r="C571" s="49" t="n"/>
    </row>
    <row r="572" ht="15.75" customHeight="1" s="50">
      <c r="B572" s="49" t="n"/>
      <c r="C572" s="49" t="n"/>
    </row>
    <row r="573" ht="15.75" customHeight="1" s="50">
      <c r="B573" s="49" t="n"/>
      <c r="C573" s="49" t="n"/>
    </row>
    <row r="574" ht="15.75" customHeight="1" s="50">
      <c r="B574" s="49" t="n"/>
      <c r="C574" s="49" t="n"/>
    </row>
    <row r="575" ht="15.75" customHeight="1" s="50">
      <c r="B575" s="49" t="n"/>
      <c r="C575" s="49" t="n"/>
    </row>
    <row r="576" ht="15.75" customHeight="1" s="50">
      <c r="B576" s="49" t="n"/>
      <c r="C576" s="49" t="n"/>
    </row>
    <row r="577" ht="15.75" customHeight="1" s="50">
      <c r="B577" s="49" t="n"/>
      <c r="C577" s="49" t="n"/>
    </row>
    <row r="578" ht="15.75" customHeight="1" s="50">
      <c r="B578" s="49" t="n"/>
      <c r="C578" s="49" t="n"/>
    </row>
    <row r="579" ht="15.75" customHeight="1" s="50">
      <c r="B579" s="49" t="n"/>
      <c r="C579" s="49" t="n"/>
    </row>
    <row r="580" ht="15.75" customHeight="1" s="50">
      <c r="B580" s="49" t="n"/>
      <c r="C580" s="49" t="n"/>
    </row>
    <row r="581" ht="15.75" customHeight="1" s="50">
      <c r="B581" s="49" t="n"/>
      <c r="C581" s="49" t="n"/>
    </row>
    <row r="582" ht="15.75" customHeight="1" s="50">
      <c r="B582" s="49" t="n"/>
      <c r="C582" s="49" t="n"/>
    </row>
    <row r="583" ht="15.75" customHeight="1" s="50">
      <c r="B583" s="49" t="n"/>
      <c r="C583" s="49" t="n"/>
    </row>
    <row r="584" ht="15.75" customHeight="1" s="50">
      <c r="B584" s="49" t="n"/>
      <c r="C584" s="49" t="n"/>
    </row>
    <row r="585" ht="15.75" customHeight="1" s="50">
      <c r="B585" s="49" t="n"/>
      <c r="C585" s="49" t="n"/>
    </row>
    <row r="586" ht="15.75" customHeight="1" s="50">
      <c r="B586" s="49" t="n"/>
      <c r="C586" s="49" t="n"/>
    </row>
    <row r="587" ht="15.75" customHeight="1" s="50">
      <c r="B587" s="49" t="n"/>
      <c r="C587" s="49" t="n"/>
    </row>
    <row r="588" ht="15.75" customHeight="1" s="50">
      <c r="B588" s="49" t="n"/>
      <c r="C588" s="49" t="n"/>
    </row>
    <row r="589" ht="15.75" customHeight="1" s="50">
      <c r="B589" s="49" t="n"/>
      <c r="C589" s="49" t="n"/>
    </row>
    <row r="590" ht="15.75" customHeight="1" s="50">
      <c r="B590" s="49" t="n"/>
      <c r="C590" s="49" t="n"/>
    </row>
    <row r="591" ht="15.75" customHeight="1" s="50">
      <c r="B591" s="49" t="n"/>
      <c r="C591" s="49" t="n"/>
    </row>
    <row r="592" ht="15.75" customHeight="1" s="50">
      <c r="B592" s="49" t="n"/>
      <c r="C592" s="49" t="n"/>
    </row>
    <row r="593" ht="15.75" customHeight="1" s="50">
      <c r="B593" s="49" t="n"/>
      <c r="C593" s="49" t="n"/>
    </row>
    <row r="594" ht="15.75" customHeight="1" s="50">
      <c r="B594" s="49" t="n"/>
      <c r="C594" s="49" t="n"/>
    </row>
    <row r="595" ht="15.75" customHeight="1" s="50">
      <c r="B595" s="49" t="n"/>
      <c r="C595" s="49" t="n"/>
    </row>
    <row r="596" ht="15.75" customHeight="1" s="50">
      <c r="B596" s="49" t="n"/>
      <c r="C596" s="49" t="n"/>
    </row>
    <row r="597" ht="15.75" customHeight="1" s="50">
      <c r="B597" s="49" t="n"/>
      <c r="C597" s="49" t="n"/>
    </row>
    <row r="598" ht="15.75" customHeight="1" s="50">
      <c r="B598" s="49" t="n"/>
      <c r="C598" s="49" t="n"/>
    </row>
    <row r="599" ht="15.75" customHeight="1" s="50">
      <c r="B599" s="49" t="n"/>
      <c r="C599" s="49" t="n"/>
    </row>
    <row r="600" ht="15.75" customHeight="1" s="50">
      <c r="B600" s="49" t="n"/>
      <c r="C600" s="49" t="n"/>
    </row>
    <row r="601" ht="15.75" customHeight="1" s="50">
      <c r="B601" s="49" t="n"/>
      <c r="C601" s="49" t="n"/>
    </row>
    <row r="602" ht="15.75" customHeight="1" s="50">
      <c r="B602" s="49" t="n"/>
      <c r="C602" s="49" t="n"/>
    </row>
    <row r="603" ht="15.75" customHeight="1" s="50">
      <c r="B603" s="49" t="n"/>
      <c r="C603" s="49" t="n"/>
    </row>
    <row r="604" ht="15.75" customHeight="1" s="50">
      <c r="B604" s="49" t="n"/>
      <c r="C604" s="49" t="n"/>
    </row>
    <row r="605" ht="15.75" customHeight="1" s="50">
      <c r="B605" s="49" t="n"/>
      <c r="C605" s="49" t="n"/>
    </row>
    <row r="606" ht="15.75" customHeight="1" s="50">
      <c r="B606" s="49" t="n"/>
      <c r="C606" s="49" t="n"/>
    </row>
    <row r="607" ht="15.75" customHeight="1" s="50">
      <c r="B607" s="49" t="n"/>
      <c r="C607" s="49" t="n"/>
    </row>
    <row r="608" ht="15.75" customHeight="1" s="50">
      <c r="B608" s="49" t="n"/>
      <c r="C608" s="49" t="n"/>
    </row>
    <row r="609" ht="15.75" customHeight="1" s="50">
      <c r="B609" s="49" t="n"/>
      <c r="C609" s="49" t="n"/>
    </row>
    <row r="610" ht="15.75" customHeight="1" s="50">
      <c r="B610" s="49" t="n"/>
      <c r="C610" s="49" t="n"/>
    </row>
    <row r="611" ht="15.75" customHeight="1" s="50">
      <c r="B611" s="49" t="n"/>
      <c r="C611" s="49" t="n"/>
    </row>
    <row r="612" ht="15.75" customHeight="1" s="50">
      <c r="B612" s="49" t="n"/>
      <c r="C612" s="49" t="n"/>
    </row>
    <row r="613" ht="15.75" customHeight="1" s="50">
      <c r="B613" s="49" t="n"/>
      <c r="C613" s="49" t="n"/>
    </row>
    <row r="614" ht="15.75" customHeight="1" s="50">
      <c r="B614" s="49" t="n"/>
      <c r="C614" s="49" t="n"/>
    </row>
    <row r="615" ht="15.75" customHeight="1" s="50">
      <c r="B615" s="49" t="n"/>
      <c r="C615" s="49" t="n"/>
    </row>
    <row r="616" ht="15.75" customHeight="1" s="50">
      <c r="B616" s="49" t="n"/>
      <c r="C616" s="49" t="n"/>
    </row>
    <row r="617" ht="15.75" customHeight="1" s="50">
      <c r="B617" s="49" t="n"/>
      <c r="C617" s="49" t="n"/>
    </row>
    <row r="618" ht="15.75" customHeight="1" s="50">
      <c r="B618" s="49" t="n"/>
      <c r="C618" s="49" t="n"/>
    </row>
    <row r="619" ht="15.75" customHeight="1" s="50">
      <c r="B619" s="49" t="n"/>
      <c r="C619" s="49" t="n"/>
    </row>
    <row r="620" ht="15.75" customHeight="1" s="50">
      <c r="B620" s="49" t="n"/>
      <c r="C620" s="49" t="n"/>
    </row>
    <row r="621" ht="15.75" customHeight="1" s="50">
      <c r="B621" s="49" t="n"/>
      <c r="C621" s="49" t="n"/>
    </row>
    <row r="622" ht="15.75" customHeight="1" s="50">
      <c r="B622" s="49" t="n"/>
      <c r="C622" s="49" t="n"/>
    </row>
    <row r="623" ht="15.75" customHeight="1" s="50">
      <c r="B623" s="49" t="n"/>
      <c r="C623" s="49" t="n"/>
    </row>
    <row r="624" ht="15.75" customHeight="1" s="50">
      <c r="B624" s="49" t="n"/>
      <c r="C624" s="49" t="n"/>
    </row>
    <row r="625" ht="15.75" customHeight="1" s="50">
      <c r="B625" s="49" t="n"/>
      <c r="C625" s="49" t="n"/>
    </row>
    <row r="626" ht="15.75" customHeight="1" s="50">
      <c r="B626" s="49" t="n"/>
      <c r="C626" s="49" t="n"/>
    </row>
    <row r="627" ht="15.75" customHeight="1" s="50">
      <c r="B627" s="49" t="n"/>
      <c r="C627" s="49" t="n"/>
    </row>
    <row r="628" ht="15.75" customHeight="1" s="50">
      <c r="B628" s="49" t="n"/>
      <c r="C628" s="49" t="n"/>
    </row>
    <row r="629" ht="15.75" customHeight="1" s="50">
      <c r="B629" s="49" t="n"/>
      <c r="C629" s="49" t="n"/>
    </row>
    <row r="630" ht="15.75" customHeight="1" s="50">
      <c r="B630" s="49" t="n"/>
      <c r="C630" s="49" t="n"/>
    </row>
    <row r="631" ht="15.75" customHeight="1" s="50">
      <c r="B631" s="49" t="n"/>
      <c r="C631" s="49" t="n"/>
    </row>
    <row r="632" ht="15.75" customHeight="1" s="50">
      <c r="B632" s="49" t="n"/>
      <c r="C632" s="49" t="n"/>
    </row>
    <row r="633" ht="15.75" customHeight="1" s="50">
      <c r="B633" s="49" t="n"/>
      <c r="C633" s="49" t="n"/>
    </row>
    <row r="634" ht="15.75" customHeight="1" s="50">
      <c r="B634" s="49" t="n"/>
      <c r="C634" s="49" t="n"/>
    </row>
    <row r="635" ht="15.75" customHeight="1" s="50">
      <c r="B635" s="49" t="n"/>
      <c r="C635" s="49" t="n"/>
    </row>
    <row r="636" ht="15.75" customHeight="1" s="50">
      <c r="B636" s="49" t="n"/>
      <c r="C636" s="49" t="n"/>
    </row>
    <row r="637" ht="15.75" customHeight="1" s="50">
      <c r="B637" s="49" t="n"/>
      <c r="C637" s="49" t="n"/>
    </row>
    <row r="638" ht="15.75" customHeight="1" s="50">
      <c r="B638" s="49" t="n"/>
      <c r="C638" s="49" t="n"/>
    </row>
    <row r="639" ht="15.75" customHeight="1" s="50">
      <c r="B639" s="49" t="n"/>
      <c r="C639" s="49" t="n"/>
    </row>
    <row r="640" ht="15.75" customHeight="1" s="50">
      <c r="B640" s="49" t="n"/>
      <c r="C640" s="49" t="n"/>
    </row>
    <row r="641" ht="15.75" customHeight="1" s="50">
      <c r="B641" s="49" t="n"/>
      <c r="C641" s="49" t="n"/>
    </row>
    <row r="642" ht="15.75" customHeight="1" s="50">
      <c r="B642" s="49" t="n"/>
      <c r="C642" s="49" t="n"/>
    </row>
    <row r="643" ht="15.75" customHeight="1" s="50">
      <c r="B643" s="49" t="n"/>
      <c r="C643" s="49" t="n"/>
    </row>
    <row r="644" ht="15.75" customHeight="1" s="50">
      <c r="B644" s="49" t="n"/>
      <c r="C644" s="49" t="n"/>
    </row>
    <row r="645" ht="15.75" customHeight="1" s="50">
      <c r="B645" s="49" t="n"/>
      <c r="C645" s="49" t="n"/>
    </row>
    <row r="646" ht="15.75" customHeight="1" s="50">
      <c r="B646" s="49" t="n"/>
      <c r="C646" s="49" t="n"/>
    </row>
    <row r="647" ht="15.75" customHeight="1" s="50">
      <c r="B647" s="49" t="n"/>
      <c r="C647" s="49" t="n"/>
    </row>
    <row r="648" ht="15.75" customHeight="1" s="50">
      <c r="B648" s="49" t="n"/>
      <c r="C648" s="49" t="n"/>
    </row>
    <row r="649" ht="15.75" customHeight="1" s="50">
      <c r="B649" s="49" t="n"/>
      <c r="C649" s="49" t="n"/>
    </row>
    <row r="650" ht="15.75" customHeight="1" s="50">
      <c r="B650" s="49" t="n"/>
      <c r="C650" s="49" t="n"/>
    </row>
    <row r="651" ht="15.75" customHeight="1" s="50">
      <c r="B651" s="49" t="n"/>
      <c r="C651" s="49" t="n"/>
    </row>
    <row r="652" ht="15.75" customHeight="1" s="50">
      <c r="B652" s="49" t="n"/>
      <c r="C652" s="49" t="n"/>
    </row>
    <row r="653" ht="15.75" customHeight="1" s="50">
      <c r="B653" s="49" t="n"/>
      <c r="C653" s="49" t="n"/>
    </row>
    <row r="654" ht="15.75" customHeight="1" s="50">
      <c r="B654" s="49" t="n"/>
      <c r="C654" s="49" t="n"/>
    </row>
    <row r="655" ht="15.75" customHeight="1" s="50">
      <c r="B655" s="49" t="n"/>
      <c r="C655" s="49" t="n"/>
    </row>
    <row r="656" ht="15.75" customHeight="1" s="50">
      <c r="B656" s="49" t="n"/>
      <c r="C656" s="49" t="n"/>
    </row>
    <row r="657" ht="15.75" customHeight="1" s="50">
      <c r="B657" s="49" t="n"/>
      <c r="C657" s="49" t="n"/>
    </row>
    <row r="658" ht="15.75" customHeight="1" s="50">
      <c r="B658" s="49" t="n"/>
      <c r="C658" s="49" t="n"/>
    </row>
    <row r="659" ht="15.75" customHeight="1" s="50">
      <c r="B659" s="49" t="n"/>
      <c r="C659" s="49" t="n"/>
    </row>
    <row r="660" ht="15.75" customHeight="1" s="50">
      <c r="B660" s="49" t="n"/>
      <c r="C660" s="49" t="n"/>
    </row>
    <row r="661" ht="15.75" customHeight="1" s="50">
      <c r="B661" s="49" t="n"/>
      <c r="C661" s="49" t="n"/>
    </row>
    <row r="662" ht="15.75" customHeight="1" s="50">
      <c r="B662" s="49" t="n"/>
      <c r="C662" s="49" t="n"/>
    </row>
    <row r="663" ht="15.75" customHeight="1" s="50">
      <c r="B663" s="49" t="n"/>
      <c r="C663" s="49" t="n"/>
    </row>
    <row r="664" ht="15.75" customHeight="1" s="50">
      <c r="B664" s="49" t="n"/>
      <c r="C664" s="49" t="n"/>
    </row>
    <row r="665" ht="15.75" customHeight="1" s="50">
      <c r="B665" s="49" t="n"/>
      <c r="C665" s="49" t="n"/>
    </row>
    <row r="666" ht="15.75" customHeight="1" s="50">
      <c r="B666" s="49" t="n"/>
      <c r="C666" s="49" t="n"/>
    </row>
    <row r="667" ht="15.75" customHeight="1" s="50">
      <c r="B667" s="49" t="n"/>
      <c r="C667" s="49" t="n"/>
    </row>
    <row r="668" ht="15.75" customHeight="1" s="50">
      <c r="B668" s="49" t="n"/>
      <c r="C668" s="49" t="n"/>
    </row>
    <row r="669" ht="15.75" customHeight="1" s="50">
      <c r="B669" s="49" t="n"/>
      <c r="C669" s="49" t="n"/>
    </row>
    <row r="670" ht="15.75" customHeight="1" s="50">
      <c r="B670" s="49" t="n"/>
      <c r="C670" s="49" t="n"/>
    </row>
    <row r="671" ht="15.75" customHeight="1" s="50">
      <c r="B671" s="49" t="n"/>
      <c r="C671" s="49" t="n"/>
    </row>
    <row r="672" ht="15.75" customHeight="1" s="50">
      <c r="B672" s="49" t="n"/>
      <c r="C672" s="49" t="n"/>
    </row>
    <row r="673" ht="15.75" customHeight="1" s="50">
      <c r="B673" s="49" t="n"/>
      <c r="C673" s="49" t="n"/>
    </row>
    <row r="674" ht="15.75" customHeight="1" s="50">
      <c r="B674" s="49" t="n"/>
      <c r="C674" s="49" t="n"/>
    </row>
    <row r="675" ht="15.75" customHeight="1" s="50">
      <c r="B675" s="49" t="n"/>
      <c r="C675" s="49" t="n"/>
    </row>
    <row r="676" ht="15.75" customHeight="1" s="50">
      <c r="B676" s="49" t="n"/>
      <c r="C676" s="49" t="n"/>
    </row>
    <row r="677" ht="15.75" customHeight="1" s="50">
      <c r="B677" s="49" t="n"/>
      <c r="C677" s="49" t="n"/>
    </row>
    <row r="678" ht="15.75" customHeight="1" s="50">
      <c r="B678" s="49" t="n"/>
      <c r="C678" s="49" t="n"/>
    </row>
    <row r="679" ht="15.75" customHeight="1" s="50">
      <c r="B679" s="49" t="n"/>
      <c r="C679" s="49" t="n"/>
    </row>
    <row r="680" ht="15.75" customHeight="1" s="50">
      <c r="B680" s="49" t="n"/>
      <c r="C680" s="49" t="n"/>
    </row>
    <row r="681" ht="15.75" customHeight="1" s="50">
      <c r="B681" s="49" t="n"/>
      <c r="C681" s="49" t="n"/>
    </row>
    <row r="682" ht="15.75" customHeight="1" s="50">
      <c r="B682" s="49" t="n"/>
      <c r="C682" s="49" t="n"/>
    </row>
    <row r="683" ht="15.75" customHeight="1" s="50">
      <c r="B683" s="49" t="n"/>
      <c r="C683" s="49" t="n"/>
    </row>
    <row r="684" ht="15.75" customHeight="1" s="50">
      <c r="B684" s="49" t="n"/>
      <c r="C684" s="49" t="n"/>
    </row>
    <row r="685" ht="15.75" customHeight="1" s="50">
      <c r="B685" s="49" t="n"/>
      <c r="C685" s="49" t="n"/>
    </row>
    <row r="686" ht="15.75" customHeight="1" s="50">
      <c r="B686" s="49" t="n"/>
      <c r="C686" s="49" t="n"/>
    </row>
    <row r="687" ht="15.75" customHeight="1" s="50">
      <c r="B687" s="49" t="n"/>
      <c r="C687" s="49" t="n"/>
    </row>
    <row r="688" ht="15.75" customHeight="1" s="50">
      <c r="B688" s="49" t="n"/>
      <c r="C688" s="49" t="n"/>
    </row>
    <row r="689" ht="15.75" customHeight="1" s="50">
      <c r="B689" s="49" t="n"/>
      <c r="C689" s="49" t="n"/>
    </row>
    <row r="690" ht="15.75" customHeight="1" s="50">
      <c r="B690" s="49" t="n"/>
      <c r="C690" s="49" t="n"/>
    </row>
    <row r="691" ht="15.75" customHeight="1" s="50">
      <c r="B691" s="49" t="n"/>
      <c r="C691" s="49" t="n"/>
    </row>
    <row r="692" ht="15.75" customHeight="1" s="50">
      <c r="B692" s="49" t="n"/>
      <c r="C692" s="49" t="n"/>
    </row>
    <row r="693" ht="15.75" customHeight="1" s="50">
      <c r="B693" s="49" t="n"/>
      <c r="C693" s="49" t="n"/>
    </row>
    <row r="694" ht="15.75" customHeight="1" s="50">
      <c r="B694" s="49" t="n"/>
      <c r="C694" s="49" t="n"/>
    </row>
    <row r="695" ht="15.75" customHeight="1" s="50">
      <c r="B695" s="49" t="n"/>
      <c r="C695" s="49" t="n"/>
    </row>
    <row r="696" ht="15.75" customHeight="1" s="50">
      <c r="B696" s="49" t="n"/>
      <c r="C696" s="49" t="n"/>
    </row>
    <row r="697" ht="15.75" customHeight="1" s="50">
      <c r="B697" s="49" t="n"/>
      <c r="C697" s="49" t="n"/>
    </row>
    <row r="698" ht="15.75" customHeight="1" s="50">
      <c r="B698" s="49" t="n"/>
      <c r="C698" s="49" t="n"/>
    </row>
    <row r="699" ht="15.75" customHeight="1" s="50">
      <c r="B699" s="49" t="n"/>
      <c r="C699" s="49" t="n"/>
    </row>
    <row r="700" ht="15.75" customHeight="1" s="50">
      <c r="B700" s="49" t="n"/>
      <c r="C700" s="49" t="n"/>
    </row>
    <row r="701" ht="15.75" customHeight="1" s="50">
      <c r="B701" s="49" t="n"/>
      <c r="C701" s="49" t="n"/>
    </row>
    <row r="702" ht="15.75" customHeight="1" s="50">
      <c r="B702" s="49" t="n"/>
      <c r="C702" s="49" t="n"/>
    </row>
    <row r="703" ht="15.75" customHeight="1" s="50">
      <c r="B703" s="49" t="n"/>
      <c r="C703" s="49" t="n"/>
    </row>
    <row r="704" ht="15.75" customHeight="1" s="50">
      <c r="B704" s="49" t="n"/>
      <c r="C704" s="49" t="n"/>
    </row>
    <row r="705" ht="15.75" customHeight="1" s="50">
      <c r="B705" s="49" t="n"/>
      <c r="C705" s="49" t="n"/>
    </row>
    <row r="706" ht="15.75" customHeight="1" s="50">
      <c r="B706" s="49" t="n"/>
      <c r="C706" s="49" t="n"/>
    </row>
    <row r="707" ht="15.75" customHeight="1" s="50">
      <c r="B707" s="49" t="n"/>
      <c r="C707" s="49" t="n"/>
    </row>
    <row r="708" ht="15.75" customHeight="1" s="50">
      <c r="B708" s="49" t="n"/>
      <c r="C708" s="49" t="n"/>
    </row>
    <row r="709" ht="15.75" customHeight="1" s="50">
      <c r="B709" s="49" t="n"/>
      <c r="C709" s="49" t="n"/>
    </row>
    <row r="710" ht="15.75" customHeight="1" s="50">
      <c r="B710" s="49" t="n"/>
      <c r="C710" s="49" t="n"/>
    </row>
    <row r="711" ht="15.75" customHeight="1" s="50">
      <c r="B711" s="49" t="n"/>
      <c r="C711" s="49" t="n"/>
    </row>
    <row r="712" ht="15.75" customHeight="1" s="50">
      <c r="B712" s="49" t="n"/>
      <c r="C712" s="49" t="n"/>
    </row>
    <row r="713" ht="15.75" customHeight="1" s="50">
      <c r="B713" s="49" t="n"/>
      <c r="C713" s="49" t="n"/>
    </row>
    <row r="714" ht="15.75" customHeight="1" s="50">
      <c r="B714" s="49" t="n"/>
      <c r="C714" s="49" t="n"/>
    </row>
    <row r="715" ht="15.75" customHeight="1" s="50">
      <c r="B715" s="49" t="n"/>
      <c r="C715" s="49" t="n"/>
    </row>
    <row r="716" ht="15.75" customHeight="1" s="50">
      <c r="B716" s="49" t="n"/>
      <c r="C716" s="49" t="n"/>
    </row>
    <row r="717" ht="15.75" customHeight="1" s="50">
      <c r="B717" s="49" t="n"/>
      <c r="C717" s="49" t="n"/>
    </row>
    <row r="718" ht="15.75" customHeight="1" s="50">
      <c r="B718" s="49" t="n"/>
      <c r="C718" s="49" t="n"/>
    </row>
    <row r="719" ht="15.75" customHeight="1" s="50">
      <c r="B719" s="49" t="n"/>
      <c r="C719" s="49" t="n"/>
    </row>
    <row r="720" ht="15.75" customHeight="1" s="50">
      <c r="B720" s="49" t="n"/>
      <c r="C720" s="49" t="n"/>
    </row>
    <row r="721" ht="15.75" customHeight="1" s="50">
      <c r="B721" s="49" t="n"/>
      <c r="C721" s="49" t="n"/>
    </row>
    <row r="722" ht="15.75" customHeight="1" s="50">
      <c r="B722" s="49" t="n"/>
      <c r="C722" s="49" t="n"/>
    </row>
    <row r="723" ht="15.75" customHeight="1" s="50">
      <c r="B723" s="49" t="n"/>
      <c r="C723" s="49" t="n"/>
    </row>
    <row r="724" ht="15.75" customHeight="1" s="50">
      <c r="B724" s="49" t="n"/>
      <c r="C724" s="49" t="n"/>
    </row>
    <row r="725" ht="15.75" customHeight="1" s="50">
      <c r="B725" s="49" t="n"/>
      <c r="C725" s="49" t="n"/>
    </row>
    <row r="726" ht="15.75" customHeight="1" s="50">
      <c r="B726" s="49" t="n"/>
      <c r="C726" s="49" t="n"/>
    </row>
    <row r="727" ht="15.75" customHeight="1" s="50">
      <c r="B727" s="49" t="n"/>
      <c r="C727" s="49" t="n"/>
    </row>
    <row r="728" ht="15.75" customHeight="1" s="50">
      <c r="B728" s="49" t="n"/>
      <c r="C728" s="49" t="n"/>
    </row>
    <row r="729" ht="15.75" customHeight="1" s="50">
      <c r="B729" s="49" t="n"/>
      <c r="C729" s="49" t="n"/>
    </row>
    <row r="730" ht="15.75" customHeight="1" s="50">
      <c r="B730" s="49" t="n"/>
      <c r="C730" s="49" t="n"/>
    </row>
    <row r="731" ht="15.75" customHeight="1" s="50">
      <c r="B731" s="49" t="n"/>
      <c r="C731" s="49" t="n"/>
    </row>
    <row r="732" ht="15.75" customHeight="1" s="50">
      <c r="B732" s="49" t="n"/>
      <c r="C732" s="49" t="n"/>
    </row>
    <row r="733" ht="15.75" customHeight="1" s="50">
      <c r="B733" s="49" t="n"/>
      <c r="C733" s="49" t="n"/>
    </row>
    <row r="734" ht="15.75" customHeight="1" s="50">
      <c r="B734" s="49" t="n"/>
      <c r="C734" s="49" t="n"/>
    </row>
    <row r="735" ht="15.75" customHeight="1" s="50">
      <c r="B735" s="49" t="n"/>
      <c r="C735" s="49" t="n"/>
    </row>
    <row r="736" ht="15.75" customHeight="1" s="50">
      <c r="B736" s="49" t="n"/>
      <c r="C736" s="49" t="n"/>
    </row>
    <row r="737" ht="15.75" customHeight="1" s="50">
      <c r="B737" s="49" t="n"/>
      <c r="C737" s="49" t="n"/>
    </row>
    <row r="738" ht="15.75" customHeight="1" s="50">
      <c r="B738" s="49" t="n"/>
      <c r="C738" s="49" t="n"/>
    </row>
    <row r="739" ht="15.75" customHeight="1" s="50">
      <c r="B739" s="49" t="n"/>
      <c r="C739" s="49" t="n"/>
    </row>
    <row r="740" ht="15.75" customHeight="1" s="50">
      <c r="B740" s="49" t="n"/>
      <c r="C740" s="49" t="n"/>
    </row>
    <row r="741" ht="15.75" customHeight="1" s="50">
      <c r="B741" s="49" t="n"/>
      <c r="C741" s="49" t="n"/>
    </row>
    <row r="742" ht="15.75" customHeight="1" s="50">
      <c r="B742" s="49" t="n"/>
      <c r="C742" s="49" t="n"/>
    </row>
    <row r="743" ht="15.75" customHeight="1" s="50">
      <c r="B743" s="49" t="n"/>
      <c r="C743" s="49" t="n"/>
    </row>
    <row r="744" ht="15.75" customHeight="1" s="50">
      <c r="B744" s="49" t="n"/>
      <c r="C744" s="49" t="n"/>
    </row>
    <row r="745" ht="15.75" customHeight="1" s="50">
      <c r="B745" s="49" t="n"/>
      <c r="C745" s="49" t="n"/>
    </row>
    <row r="746" ht="15.75" customHeight="1" s="50">
      <c r="B746" s="49" t="n"/>
      <c r="C746" s="49" t="n"/>
    </row>
    <row r="747" ht="15.75" customHeight="1" s="50">
      <c r="B747" s="49" t="n"/>
      <c r="C747" s="49" t="n"/>
    </row>
    <row r="748" ht="15.75" customHeight="1" s="50">
      <c r="B748" s="49" t="n"/>
      <c r="C748" s="49" t="n"/>
    </row>
    <row r="749" ht="15.75" customHeight="1" s="50">
      <c r="B749" s="49" t="n"/>
      <c r="C749" s="49" t="n"/>
    </row>
    <row r="750" ht="15.75" customHeight="1" s="50">
      <c r="B750" s="49" t="n"/>
      <c r="C750" s="49" t="n"/>
    </row>
    <row r="751" ht="15.75" customHeight="1" s="50">
      <c r="B751" s="49" t="n"/>
      <c r="C751" s="49" t="n"/>
    </row>
    <row r="752" ht="15.75" customHeight="1" s="50">
      <c r="B752" s="49" t="n"/>
      <c r="C752" s="49" t="n"/>
    </row>
    <row r="753" ht="15.75" customHeight="1" s="50">
      <c r="B753" s="49" t="n"/>
      <c r="C753" s="49" t="n"/>
    </row>
    <row r="754" ht="15.75" customHeight="1" s="50">
      <c r="B754" s="49" t="n"/>
      <c r="C754" s="49" t="n"/>
    </row>
    <row r="755" ht="15.75" customHeight="1" s="50">
      <c r="B755" s="49" t="n"/>
      <c r="C755" s="49" t="n"/>
    </row>
    <row r="756" ht="15.75" customHeight="1" s="50">
      <c r="B756" s="49" t="n"/>
      <c r="C756" s="49" t="n"/>
    </row>
    <row r="757" ht="15.75" customHeight="1" s="50">
      <c r="B757" s="49" t="n"/>
      <c r="C757" s="49" t="n"/>
    </row>
    <row r="758" ht="15.75" customHeight="1" s="50">
      <c r="B758" s="49" t="n"/>
      <c r="C758" s="49" t="n"/>
    </row>
    <row r="759" ht="15.75" customHeight="1" s="50">
      <c r="B759" s="49" t="n"/>
      <c r="C759" s="49" t="n"/>
    </row>
    <row r="760" ht="15.75" customHeight="1" s="50">
      <c r="B760" s="49" t="n"/>
      <c r="C760" s="49" t="n"/>
    </row>
    <row r="761" ht="15.75" customHeight="1" s="50">
      <c r="B761" s="49" t="n"/>
      <c r="C761" s="49" t="n"/>
    </row>
    <row r="762" ht="15.75" customHeight="1" s="50">
      <c r="B762" s="49" t="n"/>
      <c r="C762" s="49" t="n"/>
    </row>
    <row r="763" ht="15.75" customHeight="1" s="50">
      <c r="B763" s="49" t="n"/>
      <c r="C763" s="49" t="n"/>
    </row>
    <row r="764" ht="15.75" customHeight="1" s="50">
      <c r="B764" s="49" t="n"/>
      <c r="C764" s="49" t="n"/>
    </row>
    <row r="765" ht="15.75" customHeight="1" s="50">
      <c r="B765" s="49" t="n"/>
      <c r="C765" s="49" t="n"/>
    </row>
    <row r="766" ht="15.75" customHeight="1" s="50">
      <c r="B766" s="49" t="n"/>
      <c r="C766" s="49" t="n"/>
    </row>
    <row r="767" ht="15.75" customHeight="1" s="50">
      <c r="B767" s="49" t="n"/>
      <c r="C767" s="49" t="n"/>
    </row>
    <row r="768" ht="15.75" customHeight="1" s="50">
      <c r="B768" s="49" t="n"/>
      <c r="C768" s="49" t="n"/>
    </row>
    <row r="769" ht="15.75" customHeight="1" s="50">
      <c r="B769" s="49" t="n"/>
      <c r="C769" s="49" t="n"/>
    </row>
    <row r="770" ht="15.75" customHeight="1" s="50">
      <c r="B770" s="49" t="n"/>
      <c r="C770" s="49" t="n"/>
    </row>
    <row r="771" ht="15.75" customHeight="1" s="50">
      <c r="B771" s="49" t="n"/>
      <c r="C771" s="49" t="n"/>
    </row>
    <row r="772" ht="15.75" customHeight="1" s="50">
      <c r="B772" s="49" t="n"/>
      <c r="C772" s="49" t="n"/>
    </row>
    <row r="773" ht="15.75" customHeight="1" s="50">
      <c r="B773" s="49" t="n"/>
      <c r="C773" s="49" t="n"/>
    </row>
    <row r="774" ht="15.75" customHeight="1" s="50">
      <c r="B774" s="49" t="n"/>
      <c r="C774" s="49" t="n"/>
    </row>
    <row r="775" ht="15.75" customHeight="1" s="50">
      <c r="B775" s="49" t="n"/>
      <c r="C775" s="49" t="n"/>
    </row>
    <row r="776" ht="15.75" customHeight="1" s="50">
      <c r="B776" s="49" t="n"/>
      <c r="C776" s="49" t="n"/>
    </row>
    <row r="777" ht="15.75" customHeight="1" s="50">
      <c r="B777" s="49" t="n"/>
      <c r="C777" s="49" t="n"/>
    </row>
    <row r="778" ht="15.75" customHeight="1" s="50">
      <c r="B778" s="49" t="n"/>
      <c r="C778" s="49" t="n"/>
    </row>
    <row r="779" ht="15.75" customHeight="1" s="50">
      <c r="B779" s="49" t="n"/>
      <c r="C779" s="49" t="n"/>
    </row>
    <row r="780" ht="15.75" customHeight="1" s="50">
      <c r="B780" s="49" t="n"/>
      <c r="C780" s="49" t="n"/>
    </row>
    <row r="781" ht="15.75" customHeight="1" s="50">
      <c r="B781" s="49" t="n"/>
      <c r="C781" s="49" t="n"/>
    </row>
    <row r="782" ht="15.75" customHeight="1" s="50">
      <c r="B782" s="49" t="n"/>
      <c r="C782" s="49" t="n"/>
    </row>
    <row r="783" ht="15.75" customHeight="1" s="50">
      <c r="B783" s="49" t="n"/>
      <c r="C783" s="49" t="n"/>
    </row>
    <row r="784" ht="15.75" customHeight="1" s="50">
      <c r="B784" s="49" t="n"/>
      <c r="C784" s="49" t="n"/>
    </row>
    <row r="785" ht="15.75" customHeight="1" s="50">
      <c r="B785" s="49" t="n"/>
      <c r="C785" s="49" t="n"/>
    </row>
    <row r="786" ht="15.75" customHeight="1" s="50">
      <c r="B786" s="49" t="n"/>
      <c r="C786" s="49" t="n"/>
    </row>
    <row r="787" ht="15.75" customHeight="1" s="50">
      <c r="B787" s="49" t="n"/>
      <c r="C787" s="49" t="n"/>
    </row>
    <row r="788" ht="15.75" customHeight="1" s="50">
      <c r="B788" s="49" t="n"/>
      <c r="C788" s="49" t="n"/>
    </row>
    <row r="789" ht="15.75" customHeight="1" s="50">
      <c r="B789" s="49" t="n"/>
      <c r="C789" s="49" t="n"/>
    </row>
    <row r="790" ht="15.75" customHeight="1" s="50">
      <c r="B790" s="49" t="n"/>
      <c r="C790" s="49" t="n"/>
    </row>
    <row r="791" ht="15.75" customHeight="1" s="50">
      <c r="B791" s="49" t="n"/>
      <c r="C791" s="49" t="n"/>
    </row>
    <row r="792" ht="15.75" customHeight="1" s="50">
      <c r="B792" s="49" t="n"/>
      <c r="C792" s="49" t="n"/>
    </row>
    <row r="793" ht="15.75" customHeight="1" s="50">
      <c r="B793" s="49" t="n"/>
      <c r="C793" s="49" t="n"/>
    </row>
    <row r="794" ht="15.75" customHeight="1" s="50">
      <c r="B794" s="49" t="n"/>
      <c r="C794" s="49" t="n"/>
    </row>
    <row r="795" ht="15.75" customHeight="1" s="50">
      <c r="B795" s="49" t="n"/>
      <c r="C795" s="49" t="n"/>
    </row>
    <row r="796" ht="15.75" customHeight="1" s="50">
      <c r="B796" s="49" t="n"/>
      <c r="C796" s="49" t="n"/>
    </row>
    <row r="797" ht="15.75" customHeight="1" s="50">
      <c r="B797" s="49" t="n"/>
      <c r="C797" s="49" t="n"/>
    </row>
    <row r="798" ht="15.75" customHeight="1" s="50">
      <c r="B798" s="49" t="n"/>
      <c r="C798" s="49" t="n"/>
    </row>
    <row r="799" ht="15.75" customHeight="1" s="50">
      <c r="B799" s="49" t="n"/>
      <c r="C799" s="49" t="n"/>
    </row>
    <row r="800" ht="15.75" customHeight="1" s="50">
      <c r="B800" s="49" t="n"/>
      <c r="C800" s="49" t="n"/>
    </row>
    <row r="801" ht="15.75" customHeight="1" s="50">
      <c r="B801" s="49" t="n"/>
      <c r="C801" s="49" t="n"/>
    </row>
    <row r="802" ht="15.75" customHeight="1" s="50">
      <c r="B802" s="49" t="n"/>
      <c r="C802" s="49" t="n"/>
    </row>
    <row r="803" ht="15.75" customHeight="1" s="50">
      <c r="B803" s="49" t="n"/>
      <c r="C803" s="49" t="n"/>
    </row>
    <row r="804" ht="15.75" customHeight="1" s="50">
      <c r="B804" s="49" t="n"/>
      <c r="C804" s="49" t="n"/>
    </row>
    <row r="805" ht="15.75" customHeight="1" s="50">
      <c r="B805" s="49" t="n"/>
      <c r="C805" s="49" t="n"/>
    </row>
    <row r="806" ht="15.75" customHeight="1" s="50">
      <c r="B806" s="49" t="n"/>
      <c r="C806" s="49" t="n"/>
    </row>
    <row r="807" ht="15.75" customHeight="1" s="50">
      <c r="B807" s="49" t="n"/>
      <c r="C807" s="49" t="n"/>
    </row>
    <row r="808" ht="15.75" customHeight="1" s="50">
      <c r="B808" s="49" t="n"/>
      <c r="C808" s="49" t="n"/>
    </row>
    <row r="809" ht="15.75" customHeight="1" s="50">
      <c r="B809" s="49" t="n"/>
      <c r="C809" s="49" t="n"/>
    </row>
    <row r="810" ht="15.75" customHeight="1" s="50">
      <c r="B810" s="49" t="n"/>
      <c r="C810" s="49" t="n"/>
    </row>
    <row r="811" ht="15.75" customHeight="1" s="50">
      <c r="B811" s="49" t="n"/>
      <c r="C811" s="49" t="n"/>
    </row>
    <row r="812" ht="15.75" customHeight="1" s="50">
      <c r="B812" s="49" t="n"/>
      <c r="C812" s="49" t="n"/>
    </row>
    <row r="813" ht="15.75" customHeight="1" s="50">
      <c r="B813" s="49" t="n"/>
      <c r="C813" s="49" t="n"/>
    </row>
    <row r="814" ht="15.75" customHeight="1" s="50">
      <c r="B814" s="49" t="n"/>
      <c r="C814" s="49" t="n"/>
    </row>
    <row r="815" ht="15.75" customHeight="1" s="50">
      <c r="B815" s="49" t="n"/>
      <c r="C815" s="49" t="n"/>
    </row>
    <row r="816" ht="15.75" customHeight="1" s="50">
      <c r="B816" s="49" t="n"/>
      <c r="C816" s="49" t="n"/>
    </row>
    <row r="817" ht="15.75" customHeight="1" s="50">
      <c r="B817" s="49" t="n"/>
      <c r="C817" s="49" t="n"/>
    </row>
    <row r="818" ht="15.75" customHeight="1" s="50">
      <c r="B818" s="49" t="n"/>
      <c r="C818" s="49" t="n"/>
    </row>
    <row r="819" ht="15.75" customHeight="1" s="50">
      <c r="B819" s="49" t="n"/>
      <c r="C819" s="49" t="n"/>
    </row>
    <row r="820" ht="15.75" customHeight="1" s="50">
      <c r="B820" s="49" t="n"/>
      <c r="C820" s="49" t="n"/>
    </row>
    <row r="821" ht="15.75" customHeight="1" s="50">
      <c r="B821" s="49" t="n"/>
      <c r="C821" s="49" t="n"/>
    </row>
    <row r="822" ht="15.75" customHeight="1" s="50">
      <c r="B822" s="49" t="n"/>
      <c r="C822" s="49" t="n"/>
    </row>
    <row r="823" ht="15.75" customHeight="1" s="50">
      <c r="B823" s="49" t="n"/>
      <c r="C823" s="49" t="n"/>
    </row>
    <row r="824" ht="15.75" customHeight="1" s="50">
      <c r="B824" s="49" t="n"/>
      <c r="C824" s="49" t="n"/>
    </row>
    <row r="825" ht="15.75" customHeight="1" s="50">
      <c r="B825" s="49" t="n"/>
      <c r="C825" s="49" t="n"/>
    </row>
    <row r="826" ht="15.75" customHeight="1" s="50">
      <c r="B826" s="49" t="n"/>
      <c r="C826" s="49" t="n"/>
    </row>
    <row r="827" ht="15.75" customHeight="1" s="50">
      <c r="B827" s="49" t="n"/>
      <c r="C827" s="49" t="n"/>
    </row>
    <row r="828" ht="15.75" customHeight="1" s="50">
      <c r="B828" s="49" t="n"/>
      <c r="C828" s="49" t="n"/>
    </row>
    <row r="829" ht="15.75" customHeight="1" s="50">
      <c r="B829" s="49" t="n"/>
      <c r="C829" s="49" t="n"/>
    </row>
    <row r="830" ht="15.75" customHeight="1" s="50">
      <c r="B830" s="49" t="n"/>
      <c r="C830" s="49" t="n"/>
    </row>
    <row r="831" ht="15.75" customHeight="1" s="50">
      <c r="B831" s="49" t="n"/>
      <c r="C831" s="49" t="n"/>
    </row>
    <row r="832" ht="15.75" customHeight="1" s="50">
      <c r="B832" s="49" t="n"/>
      <c r="C832" s="49" t="n"/>
    </row>
    <row r="833" ht="15.75" customHeight="1" s="50">
      <c r="B833" s="49" t="n"/>
      <c r="C833" s="49" t="n"/>
    </row>
    <row r="834" ht="15.75" customHeight="1" s="50">
      <c r="B834" s="49" t="n"/>
      <c r="C834" s="49" t="n"/>
    </row>
    <row r="835" ht="15.75" customHeight="1" s="50">
      <c r="B835" s="49" t="n"/>
      <c r="C835" s="49" t="n"/>
    </row>
    <row r="836" ht="15.75" customHeight="1" s="50">
      <c r="B836" s="49" t="n"/>
      <c r="C836" s="49" t="n"/>
    </row>
    <row r="837" ht="15.75" customHeight="1" s="50">
      <c r="B837" s="49" t="n"/>
      <c r="C837" s="49" t="n"/>
    </row>
    <row r="838" ht="15.75" customHeight="1" s="50">
      <c r="B838" s="49" t="n"/>
      <c r="C838" s="49" t="n"/>
    </row>
    <row r="839" ht="15.75" customHeight="1" s="50">
      <c r="B839" s="49" t="n"/>
      <c r="C839" s="49" t="n"/>
    </row>
    <row r="840" ht="15.75" customHeight="1" s="50">
      <c r="B840" s="49" t="n"/>
      <c r="C840" s="49" t="n"/>
    </row>
    <row r="841" ht="15.75" customHeight="1" s="50">
      <c r="B841" s="49" t="n"/>
      <c r="C841" s="49" t="n"/>
    </row>
    <row r="842" ht="15.75" customHeight="1" s="50">
      <c r="B842" s="49" t="n"/>
      <c r="C842" s="49" t="n"/>
    </row>
    <row r="843" ht="15.75" customHeight="1" s="50">
      <c r="B843" s="49" t="n"/>
      <c r="C843" s="49" t="n"/>
    </row>
    <row r="844" ht="15.75" customHeight="1" s="50">
      <c r="B844" s="49" t="n"/>
      <c r="C844" s="49" t="n"/>
    </row>
    <row r="845" ht="15.75" customHeight="1" s="50">
      <c r="B845" s="49" t="n"/>
      <c r="C845" s="49" t="n"/>
    </row>
    <row r="846" ht="15.75" customHeight="1" s="50">
      <c r="B846" s="49" t="n"/>
      <c r="C846" s="49" t="n"/>
    </row>
    <row r="847" ht="15.75" customHeight="1" s="50">
      <c r="B847" s="49" t="n"/>
      <c r="C847" s="49" t="n"/>
    </row>
    <row r="848" ht="15.75" customHeight="1" s="50">
      <c r="B848" s="49" t="n"/>
      <c r="C848" s="49" t="n"/>
    </row>
    <row r="849" ht="15.75" customHeight="1" s="50">
      <c r="B849" s="49" t="n"/>
      <c r="C849" s="49" t="n"/>
    </row>
    <row r="850" ht="15.75" customHeight="1" s="50">
      <c r="B850" s="49" t="n"/>
      <c r="C850" s="49" t="n"/>
    </row>
    <row r="851" ht="15.75" customHeight="1" s="50">
      <c r="B851" s="49" t="n"/>
      <c r="C851" s="49" t="n"/>
    </row>
    <row r="852" ht="15.75" customHeight="1" s="50">
      <c r="B852" s="49" t="n"/>
      <c r="C852" s="49" t="n"/>
    </row>
    <row r="853" ht="15.75" customHeight="1" s="50">
      <c r="B853" s="49" t="n"/>
      <c r="C853" s="49" t="n"/>
    </row>
    <row r="854" ht="15.75" customHeight="1" s="50">
      <c r="B854" s="49" t="n"/>
      <c r="C854" s="49" t="n"/>
    </row>
    <row r="855" ht="15.75" customHeight="1" s="50">
      <c r="B855" s="49" t="n"/>
      <c r="C855" s="49" t="n"/>
    </row>
    <row r="856" ht="15.75" customHeight="1" s="50">
      <c r="B856" s="49" t="n"/>
      <c r="C856" s="49" t="n"/>
    </row>
    <row r="857" ht="15.75" customHeight="1" s="50">
      <c r="B857" s="49" t="n"/>
      <c r="C857" s="49" t="n"/>
    </row>
    <row r="858" ht="15.75" customHeight="1" s="50">
      <c r="B858" s="49" t="n"/>
      <c r="C858" s="49" t="n"/>
    </row>
    <row r="859" ht="15.75" customHeight="1" s="50">
      <c r="B859" s="49" t="n"/>
      <c r="C859" s="49" t="n"/>
    </row>
    <row r="860" ht="15.75" customHeight="1" s="50">
      <c r="B860" s="49" t="n"/>
      <c r="C860" s="49" t="n"/>
    </row>
    <row r="861" ht="15.75" customHeight="1" s="50">
      <c r="B861" s="49" t="n"/>
      <c r="C861" s="49" t="n"/>
    </row>
    <row r="862" ht="15.75" customHeight="1" s="50">
      <c r="B862" s="49" t="n"/>
      <c r="C862" s="49" t="n"/>
    </row>
    <row r="863" ht="15.75" customHeight="1" s="50">
      <c r="B863" s="49" t="n"/>
      <c r="C863" s="49" t="n"/>
    </row>
    <row r="864" ht="15.75" customHeight="1" s="50">
      <c r="B864" s="49" t="n"/>
      <c r="C864" s="49" t="n"/>
    </row>
    <row r="865" ht="15.75" customHeight="1" s="50">
      <c r="B865" s="49" t="n"/>
      <c r="C865" s="49" t="n"/>
    </row>
    <row r="866" ht="15.75" customHeight="1" s="50">
      <c r="B866" s="49" t="n"/>
      <c r="C866" s="49" t="n"/>
    </row>
    <row r="867" ht="15.75" customHeight="1" s="50">
      <c r="B867" s="49" t="n"/>
      <c r="C867" s="49" t="n"/>
    </row>
    <row r="868" ht="15.75" customHeight="1" s="50">
      <c r="B868" s="49" t="n"/>
      <c r="C868" s="49" t="n"/>
    </row>
    <row r="869" ht="15.75" customHeight="1" s="50">
      <c r="B869" s="49" t="n"/>
      <c r="C869" s="49" t="n"/>
    </row>
    <row r="870" ht="15.75" customHeight="1" s="50">
      <c r="B870" s="49" t="n"/>
      <c r="C870" s="49" t="n"/>
    </row>
    <row r="871" ht="15.75" customHeight="1" s="50">
      <c r="B871" s="49" t="n"/>
      <c r="C871" s="49" t="n"/>
    </row>
    <row r="872" ht="15.75" customHeight="1" s="50">
      <c r="B872" s="49" t="n"/>
      <c r="C872" s="49" t="n"/>
    </row>
    <row r="873" ht="15.75" customHeight="1" s="50">
      <c r="B873" s="49" t="n"/>
      <c r="C873" s="49" t="n"/>
    </row>
    <row r="874" ht="15.75" customHeight="1" s="50">
      <c r="B874" s="49" t="n"/>
      <c r="C874" s="49" t="n"/>
    </row>
    <row r="875" ht="15.75" customHeight="1" s="50">
      <c r="B875" s="49" t="n"/>
      <c r="C875" s="49" t="n"/>
    </row>
    <row r="876" ht="15.75" customHeight="1" s="50">
      <c r="B876" s="49" t="n"/>
      <c r="C876" s="49" t="n"/>
    </row>
    <row r="877" ht="15.75" customHeight="1" s="50">
      <c r="B877" s="49" t="n"/>
      <c r="C877" s="49" t="n"/>
    </row>
    <row r="878" ht="15.75" customHeight="1" s="50">
      <c r="B878" s="49" t="n"/>
      <c r="C878" s="49" t="n"/>
    </row>
    <row r="879" ht="15.75" customHeight="1" s="50">
      <c r="B879" s="49" t="n"/>
      <c r="C879" s="49" t="n"/>
    </row>
    <row r="880" ht="15.75" customHeight="1" s="50">
      <c r="B880" s="49" t="n"/>
      <c r="C880" s="49" t="n"/>
    </row>
    <row r="881" ht="15.75" customHeight="1" s="50">
      <c r="B881" s="49" t="n"/>
      <c r="C881" s="49" t="n"/>
    </row>
    <row r="882" ht="15.75" customHeight="1" s="50">
      <c r="B882" s="49" t="n"/>
      <c r="C882" s="49" t="n"/>
    </row>
    <row r="883" ht="15.75" customHeight="1" s="50">
      <c r="B883" s="49" t="n"/>
      <c r="C883" s="49" t="n"/>
    </row>
    <row r="884" ht="15.75" customHeight="1" s="50">
      <c r="B884" s="49" t="n"/>
      <c r="C884" s="49" t="n"/>
    </row>
    <row r="885" ht="15.75" customHeight="1" s="50">
      <c r="B885" s="49" t="n"/>
      <c r="C885" s="49" t="n"/>
    </row>
    <row r="886" ht="15.75" customHeight="1" s="50">
      <c r="B886" s="49" t="n"/>
      <c r="C886" s="49" t="n"/>
    </row>
    <row r="887" ht="15.75" customHeight="1" s="50">
      <c r="B887" s="49" t="n"/>
      <c r="C887" s="49" t="n"/>
    </row>
    <row r="888" ht="15.75" customHeight="1" s="50">
      <c r="B888" s="49" t="n"/>
      <c r="C888" s="49" t="n"/>
    </row>
    <row r="889" ht="15.75" customHeight="1" s="50">
      <c r="B889" s="49" t="n"/>
      <c r="C889" s="49" t="n"/>
    </row>
    <row r="890" ht="15.75" customHeight="1" s="50">
      <c r="B890" s="49" t="n"/>
      <c r="C890" s="49" t="n"/>
    </row>
    <row r="891" ht="15.75" customHeight="1" s="50">
      <c r="B891" s="49" t="n"/>
      <c r="C891" s="49" t="n"/>
    </row>
    <row r="892" ht="15.75" customHeight="1" s="50">
      <c r="B892" s="49" t="n"/>
      <c r="C892" s="49" t="n"/>
    </row>
    <row r="893" ht="15.75" customHeight="1" s="50">
      <c r="B893" s="49" t="n"/>
      <c r="C893" s="49" t="n"/>
    </row>
    <row r="894" ht="15.75" customHeight="1" s="50">
      <c r="B894" s="49" t="n"/>
      <c r="C894" s="49" t="n"/>
    </row>
    <row r="895" ht="15.75" customHeight="1" s="50">
      <c r="B895" s="49" t="n"/>
      <c r="C895" s="49" t="n"/>
    </row>
    <row r="896" ht="15.75" customHeight="1" s="50">
      <c r="B896" s="49" t="n"/>
      <c r="C896" s="49" t="n"/>
    </row>
    <row r="897" ht="15.75" customHeight="1" s="50">
      <c r="B897" s="49" t="n"/>
      <c r="C897" s="49" t="n"/>
    </row>
    <row r="898" ht="15.75" customHeight="1" s="50">
      <c r="B898" s="49" t="n"/>
      <c r="C898" s="49" t="n"/>
    </row>
    <row r="899" ht="15.75" customHeight="1" s="50">
      <c r="B899" s="49" t="n"/>
      <c r="C899" s="49" t="n"/>
    </row>
    <row r="900" ht="15.75" customHeight="1" s="50">
      <c r="B900" s="49" t="n"/>
      <c r="C900" s="49" t="n"/>
    </row>
    <row r="901" ht="15.75" customHeight="1" s="50">
      <c r="B901" s="49" t="n"/>
      <c r="C901" s="49" t="n"/>
    </row>
    <row r="902" ht="15.75" customHeight="1" s="50">
      <c r="B902" s="49" t="n"/>
      <c r="C902" s="49" t="n"/>
    </row>
    <row r="903" ht="15.75" customHeight="1" s="50">
      <c r="B903" s="49" t="n"/>
      <c r="C903" s="49" t="n"/>
    </row>
    <row r="904" ht="15.75" customHeight="1" s="50">
      <c r="B904" s="49" t="n"/>
      <c r="C904" s="49" t="n"/>
    </row>
    <row r="905" ht="15.75" customHeight="1" s="50">
      <c r="B905" s="49" t="n"/>
      <c r="C905" s="49" t="n"/>
    </row>
    <row r="906" ht="15.75" customHeight="1" s="50">
      <c r="B906" s="49" t="n"/>
      <c r="C906" s="49" t="n"/>
    </row>
    <row r="907" ht="15.75" customHeight="1" s="50">
      <c r="B907" s="49" t="n"/>
      <c r="C907" s="49" t="n"/>
    </row>
    <row r="908" ht="15.75" customHeight="1" s="50">
      <c r="B908" s="49" t="n"/>
      <c r="C908" s="49" t="n"/>
    </row>
    <row r="909" ht="15.75" customHeight="1" s="50">
      <c r="B909" s="49" t="n"/>
      <c r="C909" s="49" t="n"/>
    </row>
    <row r="910" ht="15.75" customHeight="1" s="50">
      <c r="B910" s="49" t="n"/>
      <c r="C910" s="49" t="n"/>
    </row>
    <row r="911" ht="15.75" customHeight="1" s="50">
      <c r="B911" s="49" t="n"/>
      <c r="C911" s="49" t="n"/>
    </row>
    <row r="912" ht="15.75" customHeight="1" s="50">
      <c r="B912" s="49" t="n"/>
      <c r="C912" s="49" t="n"/>
    </row>
    <row r="913" ht="15.75" customHeight="1" s="50">
      <c r="B913" s="49" t="n"/>
      <c r="C913" s="49" t="n"/>
    </row>
    <row r="914" ht="15.75" customHeight="1" s="50">
      <c r="B914" s="49" t="n"/>
      <c r="C914" s="49" t="n"/>
    </row>
    <row r="915" ht="15.75" customHeight="1" s="50">
      <c r="B915" s="49" t="n"/>
      <c r="C915" s="49" t="n"/>
    </row>
    <row r="916" ht="15.75" customHeight="1" s="50">
      <c r="B916" s="49" t="n"/>
      <c r="C916" s="49" t="n"/>
    </row>
    <row r="917" ht="15.75" customHeight="1" s="50">
      <c r="B917" s="49" t="n"/>
      <c r="C917" s="49" t="n"/>
    </row>
    <row r="918" ht="15.75" customHeight="1" s="50">
      <c r="B918" s="49" t="n"/>
      <c r="C918" s="49" t="n"/>
    </row>
    <row r="919" ht="15.75" customHeight="1" s="50">
      <c r="B919" s="49" t="n"/>
      <c r="C919" s="49" t="n"/>
    </row>
    <row r="920" ht="15.75" customHeight="1" s="50">
      <c r="B920" s="49" t="n"/>
      <c r="C920" s="49" t="n"/>
    </row>
    <row r="921" ht="15.75" customHeight="1" s="50">
      <c r="B921" s="49" t="n"/>
      <c r="C921" s="49" t="n"/>
    </row>
    <row r="922" ht="15.75" customHeight="1" s="50">
      <c r="B922" s="49" t="n"/>
      <c r="C922" s="49" t="n"/>
    </row>
    <row r="923" ht="15.75" customHeight="1" s="50">
      <c r="B923" s="49" t="n"/>
      <c r="C923" s="49" t="n"/>
    </row>
    <row r="924" ht="15.75" customHeight="1" s="50">
      <c r="B924" s="49" t="n"/>
      <c r="C924" s="49" t="n"/>
    </row>
    <row r="925" ht="15.75" customHeight="1" s="50">
      <c r="B925" s="49" t="n"/>
      <c r="C925" s="49" t="n"/>
    </row>
    <row r="926" ht="15.75" customHeight="1" s="50">
      <c r="B926" s="49" t="n"/>
      <c r="C926" s="49" t="n"/>
    </row>
    <row r="927" ht="15.75" customHeight="1" s="50">
      <c r="B927" s="49" t="n"/>
      <c r="C927" s="49" t="n"/>
    </row>
    <row r="928" ht="15.75" customHeight="1" s="50">
      <c r="B928" s="49" t="n"/>
      <c r="C928" s="49" t="n"/>
    </row>
    <row r="929" ht="15.75" customHeight="1" s="50">
      <c r="B929" s="49" t="n"/>
      <c r="C929" s="49" t="n"/>
    </row>
    <row r="930" ht="15.75" customHeight="1" s="50">
      <c r="B930" s="49" t="n"/>
      <c r="C930" s="49" t="n"/>
    </row>
    <row r="931" ht="15.75" customHeight="1" s="50">
      <c r="B931" s="49" t="n"/>
      <c r="C931" s="49" t="n"/>
    </row>
    <row r="932" ht="15.75" customHeight="1" s="50">
      <c r="B932" s="49" t="n"/>
      <c r="C932" s="49" t="n"/>
    </row>
    <row r="933" ht="15.75" customHeight="1" s="50">
      <c r="B933" s="49" t="n"/>
      <c r="C933" s="49" t="n"/>
    </row>
    <row r="934" ht="15.75" customHeight="1" s="50">
      <c r="B934" s="49" t="n"/>
      <c r="C934" s="49" t="n"/>
    </row>
    <row r="935" ht="15.75" customHeight="1" s="50">
      <c r="B935" s="49" t="n"/>
      <c r="C935" s="49" t="n"/>
    </row>
    <row r="936" ht="15.75" customHeight="1" s="50">
      <c r="B936" s="49" t="n"/>
      <c r="C936" s="49" t="n"/>
    </row>
    <row r="937" ht="15.75" customHeight="1" s="50">
      <c r="B937" s="49" t="n"/>
      <c r="C937" s="49" t="n"/>
    </row>
    <row r="938" ht="15.75" customHeight="1" s="50">
      <c r="B938" s="49" t="n"/>
      <c r="C938" s="49" t="n"/>
    </row>
    <row r="939" ht="15.75" customHeight="1" s="50">
      <c r="B939" s="49" t="n"/>
      <c r="C939" s="49" t="n"/>
    </row>
    <row r="940" ht="15.75" customHeight="1" s="50">
      <c r="B940" s="49" t="n"/>
      <c r="C940" s="49" t="n"/>
    </row>
    <row r="941" ht="15.75" customHeight="1" s="50">
      <c r="B941" s="49" t="n"/>
      <c r="C941" s="49" t="n"/>
    </row>
    <row r="942" ht="15.75" customHeight="1" s="50">
      <c r="B942" s="49" t="n"/>
      <c r="C942" s="49" t="n"/>
    </row>
    <row r="943" ht="15.75" customHeight="1" s="50">
      <c r="B943" s="49" t="n"/>
      <c r="C943" s="49" t="n"/>
    </row>
    <row r="944" ht="15.75" customHeight="1" s="50">
      <c r="B944" s="49" t="n"/>
      <c r="C944" s="49" t="n"/>
    </row>
    <row r="945" ht="15.75" customHeight="1" s="50">
      <c r="B945" s="49" t="n"/>
      <c r="C945" s="49" t="n"/>
    </row>
    <row r="946" ht="15.75" customHeight="1" s="50">
      <c r="B946" s="49" t="n"/>
      <c r="C946" s="49" t="n"/>
    </row>
    <row r="947" ht="15.75" customHeight="1" s="50">
      <c r="B947" s="49" t="n"/>
      <c r="C947" s="49" t="n"/>
    </row>
    <row r="948" ht="15.75" customHeight="1" s="50">
      <c r="B948" s="49" t="n"/>
      <c r="C948" s="49" t="n"/>
    </row>
    <row r="949" ht="15.75" customHeight="1" s="50">
      <c r="B949" s="49" t="n"/>
      <c r="C949" s="49" t="n"/>
    </row>
    <row r="950" ht="15.75" customHeight="1" s="50">
      <c r="B950" s="49" t="n"/>
      <c r="C950" s="49" t="n"/>
    </row>
    <row r="951" ht="15.75" customHeight="1" s="50">
      <c r="B951" s="49" t="n"/>
      <c r="C951" s="49" t="n"/>
    </row>
    <row r="952" ht="15.75" customHeight="1" s="50">
      <c r="B952" s="49" t="n"/>
      <c r="C952" s="49" t="n"/>
    </row>
    <row r="953" ht="15.75" customHeight="1" s="50">
      <c r="B953" s="49" t="n"/>
      <c r="C953" s="49" t="n"/>
    </row>
    <row r="954" ht="15.75" customHeight="1" s="50">
      <c r="B954" s="49" t="n"/>
      <c r="C954" s="49" t="n"/>
    </row>
    <row r="955" ht="15.75" customHeight="1" s="50">
      <c r="B955" s="49" t="n"/>
      <c r="C955" s="49" t="n"/>
    </row>
    <row r="956" ht="15.75" customHeight="1" s="50">
      <c r="B956" s="49" t="n"/>
      <c r="C956" s="49" t="n"/>
    </row>
    <row r="957" ht="15.75" customHeight="1" s="50">
      <c r="B957" s="49" t="n"/>
      <c r="C957" s="49" t="n"/>
    </row>
    <row r="958" ht="15.75" customHeight="1" s="50">
      <c r="B958" s="49" t="n"/>
      <c r="C958" s="49" t="n"/>
    </row>
    <row r="959" ht="15.75" customHeight="1" s="50">
      <c r="B959" s="49" t="n"/>
      <c r="C959" s="49" t="n"/>
    </row>
    <row r="960" ht="15.75" customHeight="1" s="50">
      <c r="B960" s="49" t="n"/>
      <c r="C960" s="49" t="n"/>
    </row>
    <row r="961" ht="15.75" customHeight="1" s="50">
      <c r="B961" s="49" t="n"/>
      <c r="C961" s="49" t="n"/>
    </row>
    <row r="962" ht="15.75" customHeight="1" s="50">
      <c r="B962" s="49" t="n"/>
      <c r="C962" s="49" t="n"/>
    </row>
    <row r="963" ht="15.75" customHeight="1" s="50">
      <c r="B963" s="49" t="n"/>
      <c r="C963" s="49" t="n"/>
    </row>
    <row r="964" ht="15.75" customHeight="1" s="50">
      <c r="B964" s="49" t="n"/>
      <c r="C964" s="49" t="n"/>
    </row>
    <row r="965" ht="15.75" customHeight="1" s="50">
      <c r="B965" s="49" t="n"/>
      <c r="C965" s="49" t="n"/>
    </row>
    <row r="966" ht="15.75" customHeight="1" s="50">
      <c r="B966" s="49" t="n"/>
      <c r="C966" s="49" t="n"/>
    </row>
    <row r="967" ht="15.75" customHeight="1" s="50">
      <c r="B967" s="49" t="n"/>
      <c r="C967" s="49" t="n"/>
    </row>
    <row r="968" ht="15.75" customHeight="1" s="50">
      <c r="B968" s="49" t="n"/>
      <c r="C968" s="49" t="n"/>
    </row>
    <row r="969" ht="15.75" customHeight="1" s="50">
      <c r="B969" s="49" t="n"/>
      <c r="C969" s="49" t="n"/>
    </row>
    <row r="970" ht="15.75" customHeight="1" s="50">
      <c r="B970" s="49" t="n"/>
      <c r="C970" s="49" t="n"/>
    </row>
    <row r="971" ht="15.75" customHeight="1" s="50">
      <c r="B971" s="49" t="n"/>
      <c r="C971" s="49" t="n"/>
    </row>
    <row r="972" ht="15.75" customHeight="1" s="50">
      <c r="B972" s="49" t="n"/>
      <c r="C972" s="49" t="n"/>
    </row>
    <row r="973" ht="15.75" customHeight="1" s="50">
      <c r="B973" s="49" t="n"/>
      <c r="C973" s="49" t="n"/>
    </row>
    <row r="974" ht="15.75" customHeight="1" s="50">
      <c r="B974" s="49" t="n"/>
      <c r="C974" s="49" t="n"/>
    </row>
    <row r="975" ht="15.75" customHeight="1" s="50">
      <c r="B975" s="49" t="n"/>
      <c r="C975" s="49" t="n"/>
    </row>
    <row r="976" ht="15.75" customHeight="1" s="50">
      <c r="B976" s="49" t="n"/>
      <c r="C976" s="49" t="n"/>
    </row>
    <row r="977" ht="15.75" customHeight="1" s="50">
      <c r="B977" s="49" t="n"/>
      <c r="C977" s="49" t="n"/>
    </row>
    <row r="978" ht="15.75" customHeight="1" s="50">
      <c r="B978" s="49" t="n"/>
      <c r="C978" s="49" t="n"/>
    </row>
    <row r="979" ht="15.75" customHeight="1" s="50">
      <c r="B979" s="49" t="n"/>
      <c r="C979" s="49" t="n"/>
    </row>
    <row r="980" ht="15.75" customHeight="1" s="50">
      <c r="B980" s="49" t="n"/>
      <c r="C980" s="49" t="n"/>
    </row>
    <row r="981" ht="15.75" customHeight="1" s="50">
      <c r="B981" s="49" t="n"/>
      <c r="C981" s="49" t="n"/>
    </row>
    <row r="982" ht="15.75" customHeight="1" s="50">
      <c r="B982" s="49" t="n"/>
      <c r="C982" s="49" t="n"/>
    </row>
    <row r="983" ht="15.75" customHeight="1" s="50">
      <c r="B983" s="49" t="n"/>
      <c r="C983" s="49" t="n"/>
    </row>
    <row r="984" ht="15.75" customHeight="1" s="50">
      <c r="B984" s="49" t="n"/>
      <c r="C984" s="49" t="n"/>
    </row>
    <row r="985" ht="15.75" customHeight="1" s="50">
      <c r="B985" s="49" t="n"/>
      <c r="C985" s="49" t="n"/>
    </row>
    <row r="986" ht="15.75" customHeight="1" s="50">
      <c r="B986" s="49" t="n"/>
      <c r="C986" s="49" t="n"/>
    </row>
    <row r="987" ht="15.75" customHeight="1" s="50">
      <c r="B987" s="49" t="n"/>
      <c r="C987" s="49" t="n"/>
    </row>
    <row r="988" ht="15.75" customHeight="1" s="50">
      <c r="B988" s="49" t="n"/>
      <c r="C988" s="49" t="n"/>
    </row>
    <row r="989" ht="15.75" customHeight="1" s="50">
      <c r="B989" s="49" t="n"/>
      <c r="C989" s="49" t="n"/>
    </row>
    <row r="990" ht="15.75" customHeight="1" s="50">
      <c r="B990" s="49" t="n"/>
      <c r="C990" s="49" t="n"/>
    </row>
    <row r="991" ht="15.75" customHeight="1" s="50">
      <c r="B991" s="49" t="n"/>
      <c r="C991" s="49" t="n"/>
    </row>
    <row r="992" ht="15.75" customHeight="1" s="50">
      <c r="B992" s="49" t="n"/>
      <c r="C992" s="49" t="n"/>
    </row>
    <row r="993" ht="15.75" customHeight="1" s="50">
      <c r="B993" s="49" t="n"/>
      <c r="C993" s="49" t="n"/>
    </row>
    <row r="994" ht="15.75" customHeight="1" s="50">
      <c r="B994" s="49" t="n"/>
      <c r="C994" s="49" t="n"/>
    </row>
    <row r="995" ht="15.75" customHeight="1" s="50">
      <c r="B995" s="49" t="n"/>
      <c r="C995" s="49" t="n"/>
    </row>
    <row r="996" ht="15.75" customHeight="1" s="50">
      <c r="B996" s="49" t="n"/>
      <c r="C996" s="49" t="n"/>
    </row>
    <row r="997" ht="15.75" customHeight="1" s="50">
      <c r="B997" s="49" t="n"/>
      <c r="C997" s="49" t="n"/>
    </row>
    <row r="998" ht="15.75" customHeight="1" s="50">
      <c r="B998" s="49" t="n"/>
      <c r="C998" s="49" t="n"/>
    </row>
    <row r="999" ht="15.75" customHeight="1" s="50">
      <c r="B999" s="49" t="n"/>
      <c r="C999" s="49" t="n"/>
    </row>
    <row r="1000" ht="15.75" customHeight="1" s="50">
      <c r="B1000" s="49" t="n"/>
      <c r="C1000" s="49" t="n"/>
    </row>
    <row r="1001" ht="15.75" customHeight="1" s="50">
      <c r="B1001" s="49" t="n"/>
      <c r="C1001" s="49" t="n"/>
    </row>
    <row r="1002" ht="15.75" customHeight="1" s="50">
      <c r="B1002" s="49" t="n"/>
      <c r="C1002" s="49" t="n"/>
    </row>
    <row r="1003">
      <c r="A1003" t="inlineStr">
        <is>
          <t>Butcher Cleaver</t>
        </is>
      </c>
      <c r="B1003" t="inlineStr">
        <is>
          <t>On-Half</t>
        </is>
      </c>
      <c r="C1003" t="inlineStr">
        <is>
          <t>Gain</t>
        </is>
      </c>
      <c r="D1003" t="inlineStr">
        <is>
          <t>DEF</t>
        </is>
      </c>
      <c r="E1003" t="n">
        <v>3</v>
      </c>
      <c r="F1003" t="inlineStr">
        <is>
          <t>Positive</t>
        </is>
      </c>
      <c r="G1003">
        <f>VLOOKUP(B1003,Weights!$A$12:$B$18,2,FALSE())*VLOOKUP(C1003,Weights!$A$22:$B$25,2,FALSE())*VLOOKUP(E1003,Weights!$A$29:$B$35,2,FALSE())*VLOOKUP(D1003,Weights!$A$54:$B$62,2,FALSE())*(-1)*VLOOKUP(F1003,Weights!$A$39:$B$41,2,FALSE())</f>
        <v/>
      </c>
      <c r="H1003" t="inlineStr">
        <is>
          <t>Passive</t>
        </is>
      </c>
      <c r="I1003" t="inlineStr">
        <is>
          <t>On-Half: Gain 3 DEF</t>
        </is>
      </c>
    </row>
    <row r="1004">
      <c r="A1004" t="inlineStr">
        <is>
          <t>Titan Stone Mortar</t>
        </is>
      </c>
      <c r="B1004" t="inlineStr">
        <is>
          <t>On-Damaged</t>
        </is>
      </c>
      <c r="C1004" t="inlineStr">
        <is>
          <t>Gain</t>
        </is>
      </c>
      <c r="D1004" t="inlineStr">
        <is>
          <t>DEF</t>
        </is>
      </c>
      <c r="E1004" t="n">
        <v>1</v>
      </c>
      <c r="F1004" t="inlineStr">
        <is>
          <t>Positive</t>
        </is>
      </c>
      <c r="G1004">
        <f>VLOOKUP(B1004,Weights!$A$12:$B$18,2,FALSE())*VLOOKUP(C1004,Weights!$A$22:$B$25,2,FALSE())*VLOOKUP(E1004,Weights!$A$29:$B$35,2,FALSE())*VLOOKUP(D1004,Weights!$A$54:$B$62,2,FALSE())*(-1)*VLOOKUP(F1004,Weights!$A$39:$B$41,2,FALSE())</f>
        <v/>
      </c>
      <c r="H1004" t="inlineStr">
        <is>
          <t>Passive</t>
        </is>
      </c>
      <c r="I1004" t="inlineStr">
        <is>
          <t>On-Damaged: Gain 1 DEF</t>
        </is>
      </c>
    </row>
  </sheetData>
  <dataValidations count="3">
    <dataValidation sqref="H2:H22" showDropDown="0" showInputMessage="0" showErrorMessage="1" allowBlank="1" type="list">
      <formula1>"Passive,Action,Special"</formula1>
    </dataValidation>
    <dataValidation sqref="C2:C22" showDropDown="0" showInputMessage="0" showErrorMessage="1" allowBlank="1" type="list">
      <formula1>"Gain,Lose,Restore,Convert"</formula1>
    </dataValidation>
    <dataValidation sqref="B2:B22" showDropDown="0" showInputMessage="0" showErrorMessage="1" allowBlank="1" type="list">
      <formula1>"On-Half,On-Exposed,On-Start,Special,On-Damaged,On-Hit"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0" min="1" max="1"/>
    <col width="14" customWidth="1" style="50" min="2" max="3"/>
    <col width="8" customWidth="1" style="50" min="4" max="4"/>
    <col width="7" customWidth="1" style="50" min="5" max="7"/>
    <col width="8" customWidth="1" style="50" min="8" max="8"/>
    <col width="12" customWidth="1" style="50" min="9" max="9"/>
    <col width="8" customWidth="1" style="50" min="10" max="10"/>
    <col width="13" customWidth="1" style="50" min="11" max="12"/>
    <col width="8" customWidth="1" style="50" min="13" max="13"/>
    <col width="8.710000000000001" customWidth="1" style="50" min="14" max="26"/>
  </cols>
  <sheetData>
    <row r="1">
      <c r="A1" s="30" t="inlineStr">
        <is>
          <t>Weapon</t>
        </is>
      </c>
      <c r="B1" s="30" t="inlineStr">
        <is>
          <t>Baseline Rarity</t>
        </is>
      </c>
      <c r="C1" s="30" t="inlineStr">
        <is>
          <t>Selected Rarity</t>
        </is>
      </c>
      <c r="D1" s="30" t="inlineStr">
        <is>
          <t>Factor</t>
        </is>
      </c>
      <c r="E1" s="30" t="inlineStr">
        <is>
          <t>ATK</t>
        </is>
      </c>
      <c r="F1" s="30" t="inlineStr">
        <is>
          <t>DEF</t>
        </is>
      </c>
      <c r="G1" s="30" t="inlineStr">
        <is>
          <t>SPD</t>
        </is>
      </c>
      <c r="H1" s="30" t="inlineStr">
        <is>
          <t>Sum</t>
        </is>
      </c>
      <c r="I1" s="30" t="inlineStr">
        <is>
          <t>Ability Value</t>
        </is>
      </c>
      <c r="J1" s="30" t="inlineStr">
        <is>
          <t>Charge</t>
        </is>
      </c>
      <c r="K1" s="30" t="inlineStr">
        <is>
          <t>Combat Power</t>
        </is>
      </c>
      <c r="L1" s="30" t="inlineStr">
        <is>
          <t>Should Be CP</t>
        </is>
      </c>
      <c r="M1" s="30" t="inlineStr">
        <is>
          <t>Diff</t>
        </is>
      </c>
    </row>
    <row r="2">
      <c r="A2" s="40">
        <f>Equipment!B3</f>
        <v/>
      </c>
      <c r="B2" s="43">
        <f>Equipment!C3</f>
        <v/>
      </c>
      <c r="C2" s="42" t="inlineStr">
        <is>
          <t>Common</t>
        </is>
      </c>
      <c r="D2" s="36">
        <f>IF(Equipment!I3=0,1,(VLOOKUP(C2,Weights!$A$4:$B$8,2,FALSE())-Equipment!K3-Equipment!H3*Weights!$B$45)/Equipment!I3)</f>
        <v/>
      </c>
      <c r="E2" s="43">
        <f>ROUND(Equipment!E3*D2,0)</f>
        <v/>
      </c>
      <c r="F2" s="43">
        <f>ROUND(Equipment!F3*D2,0)</f>
        <v/>
      </c>
      <c r="G2" s="43">
        <f>ROUND(Equipment!G3*D2,0)</f>
        <v/>
      </c>
      <c r="H2" s="36">
        <f>E2*Weights!$B$49+F2*Weights!$B$50+G2*Weights!$B$51</f>
        <v/>
      </c>
      <c r="I2" s="36">
        <f>Equipment!K3</f>
        <v/>
      </c>
      <c r="J2" s="43">
        <f>Equipment!H3</f>
        <v/>
      </c>
      <c r="K2" s="36">
        <f>H2+I2+J2*Weights!$B$45</f>
        <v/>
      </c>
      <c r="L2" s="43">
        <f>VLOOKUP(C2,Weights!$A$4:$B$8,2,FALSE())</f>
        <v/>
      </c>
      <c r="M2" s="36">
        <f>K2-L2</f>
        <v/>
      </c>
    </row>
    <row r="3">
      <c r="A3" s="40">
        <f>Equipment!B2</f>
        <v/>
      </c>
      <c r="B3" s="43">
        <f>Equipment!C2</f>
        <v/>
      </c>
      <c r="C3" s="42" t="inlineStr">
        <is>
          <t>Common</t>
        </is>
      </c>
      <c r="D3" s="36">
        <f>IF(Equipment!I2=0,1,(VLOOKUP(C3,Weights!$A$4:$B$8,2,FALSE())-Equipment!K2-Equipment!H2*Weights!$B$45)/Equipment!I2)</f>
        <v/>
      </c>
      <c r="E3" s="43">
        <f>ROUND(Equipment!E2*D3,0)</f>
        <v/>
      </c>
      <c r="F3" s="43">
        <f>ROUND(Equipment!F2*D3,0)</f>
        <v/>
      </c>
      <c r="G3" s="43">
        <f>ROUND(Equipment!G2*D3,0)</f>
        <v/>
      </c>
      <c r="H3" s="36">
        <f>E3*Weights!$B$49+F3*Weights!$B$50+G3*Weights!$B$51</f>
        <v/>
      </c>
      <c r="I3" s="36">
        <f>Equipment!K2</f>
        <v/>
      </c>
      <c r="J3" s="43">
        <f>Equipment!H2</f>
        <v/>
      </c>
      <c r="K3" s="36">
        <f>H3+I3+J3*Weights!$B$45</f>
        <v/>
      </c>
      <c r="L3" s="43">
        <f>VLOOKUP(C3,Weights!$A$4:$B$8,2,FALSE())</f>
        <v/>
      </c>
      <c r="M3" s="36">
        <f>K3-L3</f>
        <v/>
      </c>
      <c r="O3" s="46" t="inlineStr">
        <is>
          <t>Selected Rarity (สีเหลือง) = ช่องกรอก; stat จะ scale เพื่อให้ Combat Power แตะ Should Be CP ของ rarity นั้น (ability/charge คงเดิมตามสมมติฐาน forge)</t>
        </is>
      </c>
    </row>
    <row r="4">
      <c r="A4" s="40">
        <f>Equipment!B5</f>
        <v/>
      </c>
      <c r="B4" s="43">
        <f>Equipment!C5</f>
        <v/>
      </c>
      <c r="C4" s="42" t="inlineStr">
        <is>
          <t>Common</t>
        </is>
      </c>
      <c r="D4" s="36">
        <f>IF(Equipment!I5=0,1,(VLOOKUP(C4,Weights!$A$4:$B$8,2,FALSE())-Equipment!K5-Equipment!H5*Weights!$B$45)/Equipment!I5)</f>
        <v/>
      </c>
      <c r="E4" s="43">
        <f>ROUND(Equipment!E5*D4,0)</f>
        <v/>
      </c>
      <c r="F4" s="43">
        <f>ROUND(Equipment!F5*D4,0)</f>
        <v/>
      </c>
      <c r="G4" s="43">
        <f>ROUND(Equipment!G5*D4,0)</f>
        <v/>
      </c>
      <c r="H4" s="36">
        <f>E4*Weights!$B$49+F4*Weights!$B$50+G4*Weights!$B$51</f>
        <v/>
      </c>
      <c r="I4" s="36">
        <f>Equipment!K5</f>
        <v/>
      </c>
      <c r="J4" s="43">
        <f>Equipment!H5</f>
        <v/>
      </c>
      <c r="K4" s="36">
        <f>H4+I4+J4*Weights!$B$45</f>
        <v/>
      </c>
      <c r="L4" s="43">
        <f>VLOOKUP(C4,Weights!$A$4:$B$8,2,FALSE())</f>
        <v/>
      </c>
      <c r="M4" s="36">
        <f>K4-L4</f>
        <v/>
      </c>
    </row>
    <row r="5">
      <c r="A5" s="40">
        <f>Equipment!B4</f>
        <v/>
      </c>
      <c r="B5" s="43">
        <f>Equipment!C4</f>
        <v/>
      </c>
      <c r="C5" s="42" t="inlineStr">
        <is>
          <t>Common</t>
        </is>
      </c>
      <c r="D5" s="36">
        <f>IF(Equipment!I4=0,1,(VLOOKUP(C5,Weights!$A$4:$B$8,2,FALSE())-Equipment!K4-Equipment!H4*Weights!$B$45)/Equipment!I4)</f>
        <v/>
      </c>
      <c r="E5" s="43">
        <f>ROUND(Equipment!E4*D5,0)</f>
        <v/>
      </c>
      <c r="F5" s="43">
        <f>ROUND(Equipment!F4*D5,0)</f>
        <v/>
      </c>
      <c r="G5" s="43">
        <f>ROUND(Equipment!G4*D5,0)</f>
        <v/>
      </c>
      <c r="H5" s="36">
        <f>E5*Weights!$B$49+F5*Weights!$B$50+G5*Weights!$B$51</f>
        <v/>
      </c>
      <c r="I5" s="36">
        <f>Equipment!K4</f>
        <v/>
      </c>
      <c r="J5" s="43">
        <f>Equipment!H4</f>
        <v/>
      </c>
      <c r="K5" s="36">
        <f>H5+I5+J5*Weights!$B$45</f>
        <v/>
      </c>
      <c r="L5" s="43">
        <f>VLOOKUP(C5,Weights!$A$4:$B$8,2,FALSE())</f>
        <v/>
      </c>
      <c r="M5" s="36">
        <f>K5-L5</f>
        <v/>
      </c>
    </row>
    <row r="6">
      <c r="A6" s="40">
        <f>Equipment!B6</f>
        <v/>
      </c>
      <c r="B6" s="43">
        <f>Equipment!C6</f>
        <v/>
      </c>
      <c r="C6" s="42" t="inlineStr">
        <is>
          <t>Rare</t>
        </is>
      </c>
      <c r="D6" s="36">
        <f>IF(Equipment!I6=0,1,(VLOOKUP(C6,Weights!$A$4:$B$8,2,FALSE())-Equipment!K6-Equipment!H6*Weights!$B$45)/Equipment!I6)</f>
        <v/>
      </c>
      <c r="E6" s="43">
        <f>ROUND(Equipment!E6*D6,0)</f>
        <v/>
      </c>
      <c r="F6" s="43">
        <f>ROUND(Equipment!F6*D6,0)</f>
        <v/>
      </c>
      <c r="G6" s="43">
        <f>ROUND(Equipment!G6*D6,0)</f>
        <v/>
      </c>
      <c r="H6" s="36">
        <f>E6*Weights!$B$49+F6*Weights!$B$50+G6*Weights!$B$51</f>
        <v/>
      </c>
      <c r="I6" s="36">
        <f>Equipment!K6</f>
        <v/>
      </c>
      <c r="J6" s="43">
        <f>Equipment!H6</f>
        <v/>
      </c>
      <c r="K6" s="36">
        <f>H6+I6+J6*Weights!$B$45</f>
        <v/>
      </c>
      <c r="L6" s="43">
        <f>VLOOKUP(C6,Weights!$A$4:$B$8,2,FALSE())</f>
        <v/>
      </c>
      <c r="M6" s="36">
        <f>K6-L6</f>
        <v/>
      </c>
    </row>
    <row r="7">
      <c r="A7" s="40">
        <f>Equipment!B7</f>
        <v/>
      </c>
      <c r="B7" s="43">
        <f>Equipment!C7</f>
        <v/>
      </c>
      <c r="C7" s="42" t="inlineStr">
        <is>
          <t>Rare</t>
        </is>
      </c>
      <c r="D7" s="36">
        <f>IF(Equipment!I7=0,1,(VLOOKUP(C7,Weights!$A$4:$B$8,2,FALSE())-Equipment!K7-Equipment!H7*Weights!$B$45)/Equipment!I7)</f>
        <v/>
      </c>
      <c r="E7" s="43">
        <f>ROUND(Equipment!E7*D7,0)</f>
        <v/>
      </c>
      <c r="F7" s="43">
        <f>ROUND(Equipment!F7*D7,0)</f>
        <v/>
      </c>
      <c r="G7" s="43">
        <f>ROUND(Equipment!G7*D7,0)</f>
        <v/>
      </c>
      <c r="H7" s="36">
        <f>E7*Weights!$B$49+F7*Weights!$B$50+G7*Weights!$B$51</f>
        <v/>
      </c>
      <c r="I7" s="36">
        <f>Equipment!K7</f>
        <v/>
      </c>
      <c r="J7" s="43">
        <f>Equipment!H7</f>
        <v/>
      </c>
      <c r="K7" s="36">
        <f>H7+I7+J7*Weights!$B$45</f>
        <v/>
      </c>
      <c r="L7" s="43">
        <f>VLOOKUP(C7,Weights!$A$4:$B$8,2,FALSE())</f>
        <v/>
      </c>
      <c r="M7" s="36">
        <f>K7-L7</f>
        <v/>
      </c>
    </row>
    <row r="8">
      <c r="A8" s="40">
        <f>Equipment!B8</f>
        <v/>
      </c>
      <c r="B8" s="43">
        <f>Equipment!C8</f>
        <v/>
      </c>
      <c r="C8" s="42" t="inlineStr">
        <is>
          <t>Rare</t>
        </is>
      </c>
      <c r="D8" s="36">
        <f>IF(Equipment!I8=0,1,(VLOOKUP(C8,Weights!$A$4:$B$8,2,FALSE())-Equipment!K8-Equipment!H8*Weights!$B$45)/Equipment!I8)</f>
        <v/>
      </c>
      <c r="E8" s="43">
        <f>ROUND(Equipment!E8*D8,0)</f>
        <v/>
      </c>
      <c r="F8" s="43">
        <f>ROUND(Equipment!F8*D8,0)</f>
        <v/>
      </c>
      <c r="G8" s="43">
        <f>ROUND(Equipment!G8*D8,0)</f>
        <v/>
      </c>
      <c r="H8" s="36">
        <f>E8*Weights!$B$49+F8*Weights!$B$50+G8*Weights!$B$51</f>
        <v/>
      </c>
      <c r="I8" s="36">
        <f>Equipment!K8</f>
        <v/>
      </c>
      <c r="J8" s="43">
        <f>Equipment!H8</f>
        <v/>
      </c>
      <c r="K8" s="36">
        <f>H8+I8+J8*Weights!$B$45</f>
        <v/>
      </c>
      <c r="L8" s="43">
        <f>VLOOKUP(C8,Weights!$A$4:$B$8,2,FALSE())</f>
        <v/>
      </c>
      <c r="M8" s="36">
        <f>K8-L8</f>
        <v/>
      </c>
    </row>
    <row r="9">
      <c r="A9" s="40">
        <f>Equipment!B9</f>
        <v/>
      </c>
      <c r="B9" s="43">
        <f>Equipment!C9</f>
        <v/>
      </c>
      <c r="C9" s="42" t="inlineStr">
        <is>
          <t>Rare</t>
        </is>
      </c>
      <c r="D9" s="36">
        <f>IF(Equipment!I9=0,1,(VLOOKUP(C9,Weights!$A$4:$B$8,2,FALSE())-Equipment!K9-Equipment!H9*Weights!$B$45)/Equipment!I9)</f>
        <v/>
      </c>
      <c r="E9" s="43">
        <f>ROUND(Equipment!E9*D9,0)</f>
        <v/>
      </c>
      <c r="F9" s="43">
        <f>ROUND(Equipment!F9*D9,0)</f>
        <v/>
      </c>
      <c r="G9" s="43">
        <f>ROUND(Equipment!G9*D9,0)</f>
        <v/>
      </c>
      <c r="H9" s="36">
        <f>E9*Weights!$B$49+F9*Weights!$B$50+G9*Weights!$B$51</f>
        <v/>
      </c>
      <c r="I9" s="36">
        <f>Equipment!K9</f>
        <v/>
      </c>
      <c r="J9" s="43">
        <f>Equipment!H9</f>
        <v/>
      </c>
      <c r="K9" s="36">
        <f>H9+I9+J9*Weights!$B$45</f>
        <v/>
      </c>
      <c r="L9" s="43">
        <f>VLOOKUP(C9,Weights!$A$4:$B$8,2,FALSE())</f>
        <v/>
      </c>
      <c r="M9" s="36">
        <f>K9-L9</f>
        <v/>
      </c>
    </row>
    <row r="10">
      <c r="A10" s="40">
        <f>Equipment!B10</f>
        <v/>
      </c>
      <c r="B10" s="43">
        <f>Equipment!C10</f>
        <v/>
      </c>
      <c r="C10" s="42" t="inlineStr">
        <is>
          <t>Epic</t>
        </is>
      </c>
      <c r="D10" s="36">
        <f>IF(Equipment!I10=0,1,(VLOOKUP(C10,Weights!$A$4:$B$8,2,FALSE())-Equipment!K10-Equipment!H10*Weights!$B$45)/Equipment!I10)</f>
        <v/>
      </c>
      <c r="E10" s="43">
        <f>ROUND(Equipment!E10*D10,0)</f>
        <v/>
      </c>
      <c r="F10" s="43">
        <f>ROUND(Equipment!F10*D10,0)</f>
        <v/>
      </c>
      <c r="G10" s="43">
        <f>ROUND(Equipment!G10*D10,0)</f>
        <v/>
      </c>
      <c r="H10" s="36">
        <f>E10*Weights!$B$49+F10*Weights!$B$50+G10*Weights!$B$51</f>
        <v/>
      </c>
      <c r="I10" s="36">
        <f>Equipment!K10</f>
        <v/>
      </c>
      <c r="J10" s="43">
        <f>Equipment!H10</f>
        <v/>
      </c>
      <c r="K10" s="36">
        <f>H10+I10+J10*Weights!$B$45</f>
        <v/>
      </c>
      <c r="L10" s="43">
        <f>VLOOKUP(C10,Weights!$A$4:$B$8,2,FALSE())</f>
        <v/>
      </c>
      <c r="M10" s="36">
        <f>K10-L10</f>
        <v/>
      </c>
    </row>
    <row r="11">
      <c r="A11" s="40">
        <f>Equipment!B11</f>
        <v/>
      </c>
      <c r="B11" s="43">
        <f>Equipment!C11</f>
        <v/>
      </c>
      <c r="C11" s="42" t="inlineStr">
        <is>
          <t>Epic</t>
        </is>
      </c>
      <c r="D11" s="36">
        <f>IF(Equipment!I11=0,1,(VLOOKUP(C11,Weights!$A$4:$B$8,2,FALSE())-Equipment!K11-Equipment!H11*Weights!$B$45)/Equipment!I11)</f>
        <v/>
      </c>
      <c r="E11" s="43">
        <f>ROUND(Equipment!E11*D11,0)</f>
        <v/>
      </c>
      <c r="F11" s="43">
        <f>ROUND(Equipment!F11*D11,0)</f>
        <v/>
      </c>
      <c r="G11" s="43">
        <f>ROUND(Equipment!G11*D11,0)</f>
        <v/>
      </c>
      <c r="H11" s="36">
        <f>E11*Weights!$B$49+F11*Weights!$B$50+G11*Weights!$B$51</f>
        <v/>
      </c>
      <c r="I11" s="36">
        <f>Equipment!K11</f>
        <v/>
      </c>
      <c r="J11" s="43">
        <f>Equipment!H11</f>
        <v/>
      </c>
      <c r="K11" s="36">
        <f>H11+I11+J11*Weights!$B$45</f>
        <v/>
      </c>
      <c r="L11" s="43">
        <f>VLOOKUP(C11,Weights!$A$4:$B$8,2,FALSE())</f>
        <v/>
      </c>
      <c r="M11" s="36">
        <f>K11-L11</f>
        <v/>
      </c>
    </row>
    <row r="12">
      <c r="A12" s="40">
        <f>Equipment!B12</f>
        <v/>
      </c>
      <c r="B12" s="43">
        <f>Equipment!C12</f>
        <v/>
      </c>
      <c r="C12" s="42" t="inlineStr">
        <is>
          <t>Epic</t>
        </is>
      </c>
      <c r="D12" s="36">
        <f>IF(Equipment!I12=0,1,(VLOOKUP(C12,Weights!$A$4:$B$8,2,FALSE())-Equipment!K12-Equipment!H12*Weights!$B$45)/Equipment!I12)</f>
        <v/>
      </c>
      <c r="E12" s="43">
        <f>ROUND(Equipment!E12*D12,0)</f>
        <v/>
      </c>
      <c r="F12" s="43">
        <f>ROUND(Equipment!F12*D12,0)</f>
        <v/>
      </c>
      <c r="G12" s="43">
        <f>ROUND(Equipment!G12*D12,0)</f>
        <v/>
      </c>
      <c r="H12" s="36">
        <f>E12*Weights!$B$49+F12*Weights!$B$50+G12*Weights!$B$51</f>
        <v/>
      </c>
      <c r="I12" s="36">
        <f>Equipment!K12</f>
        <v/>
      </c>
      <c r="J12" s="43">
        <f>Equipment!H12</f>
        <v/>
      </c>
      <c r="K12" s="36">
        <f>H12+I12+J12*Weights!$B$45</f>
        <v/>
      </c>
      <c r="L12" s="43">
        <f>VLOOKUP(C12,Weights!$A$4:$B$8,2,FALSE())</f>
        <v/>
      </c>
      <c r="M12" s="36">
        <f>K12-L12</f>
        <v/>
      </c>
    </row>
    <row r="13">
      <c r="A13" s="40">
        <f>Equipment!B13</f>
        <v/>
      </c>
      <c r="B13" s="43">
        <f>Equipment!C13</f>
        <v/>
      </c>
      <c r="C13" s="42" t="inlineStr">
        <is>
          <t>Epic</t>
        </is>
      </c>
      <c r="D13" s="36">
        <f>IF(Equipment!I13=0,1,(VLOOKUP(C13,Weights!$A$4:$B$8,2,FALSE())-Equipment!K13-Equipment!H13*Weights!$B$45)/Equipment!I13)</f>
        <v/>
      </c>
      <c r="E13" s="43">
        <f>ROUND(Equipment!E13*D13,0)</f>
        <v/>
      </c>
      <c r="F13" s="43">
        <f>ROUND(Equipment!F13*D13,0)</f>
        <v/>
      </c>
      <c r="G13" s="43">
        <f>ROUND(Equipment!G13*D13,0)</f>
        <v/>
      </c>
      <c r="H13" s="36">
        <f>E13*Weights!$B$49+F13*Weights!$B$50+G13*Weights!$B$51</f>
        <v/>
      </c>
      <c r="I13" s="36">
        <f>Equipment!K13</f>
        <v/>
      </c>
      <c r="J13" s="43">
        <f>Equipment!H13</f>
        <v/>
      </c>
      <c r="K13" s="36">
        <f>H13+I13+J13*Weights!$B$45</f>
        <v/>
      </c>
      <c r="L13" s="43">
        <f>VLOOKUP(C13,Weights!$A$4:$B$8,2,FALSE())</f>
        <v/>
      </c>
      <c r="M13" s="36">
        <f>K13-L13</f>
        <v/>
      </c>
    </row>
    <row r="14">
      <c r="A14" s="40">
        <f>Equipment!B14</f>
        <v/>
      </c>
      <c r="B14" s="43">
        <f>Equipment!C14</f>
        <v/>
      </c>
      <c r="C14" s="42" t="inlineStr">
        <is>
          <t>Legend</t>
        </is>
      </c>
      <c r="D14" s="36">
        <f>IF(Equipment!I14=0,1,(VLOOKUP(C14,Weights!$A$4:$B$8,2,FALSE())-Equipment!K14-Equipment!H14*Weights!$B$45)/Equipment!I14)</f>
        <v/>
      </c>
      <c r="E14" s="43">
        <f>ROUND(Equipment!E14*D14,0)</f>
        <v/>
      </c>
      <c r="F14" s="43">
        <f>ROUND(Equipment!F14*D14,0)</f>
        <v/>
      </c>
      <c r="G14" s="43">
        <f>ROUND(Equipment!G14*D14,0)</f>
        <v/>
      </c>
      <c r="H14" s="36">
        <f>E14*Weights!$B$49+F14*Weights!$B$50+G14*Weights!$B$51</f>
        <v/>
      </c>
      <c r="I14" s="36">
        <f>Equipment!K14</f>
        <v/>
      </c>
      <c r="J14" s="43">
        <f>Equipment!H14</f>
        <v/>
      </c>
      <c r="K14" s="36">
        <f>H14+I14+J14*Weights!$B$45</f>
        <v/>
      </c>
      <c r="L14" s="43">
        <f>VLOOKUP(C14,Weights!$A$4:$B$8,2,FALSE())</f>
        <v/>
      </c>
      <c r="M14" s="36">
        <f>K14-L14</f>
        <v/>
      </c>
    </row>
    <row r="15">
      <c r="A15" s="40">
        <f>Equipment!B15</f>
        <v/>
      </c>
      <c r="B15" s="43">
        <f>Equipment!C15</f>
        <v/>
      </c>
      <c r="C15" s="42" t="inlineStr">
        <is>
          <t>Legend</t>
        </is>
      </c>
      <c r="D15" s="36">
        <f>IF(Equipment!I15=0,1,(VLOOKUP(C15,Weights!$A$4:$B$8,2,FALSE())-Equipment!K15-Equipment!H15*Weights!$B$45)/Equipment!I15)</f>
        <v/>
      </c>
      <c r="E15" s="43">
        <f>ROUND(Equipment!E15*D15,0)</f>
        <v/>
      </c>
      <c r="F15" s="43">
        <f>ROUND(Equipment!F15*D15,0)</f>
        <v/>
      </c>
      <c r="G15" s="43">
        <f>ROUND(Equipment!G15*D15,0)</f>
        <v/>
      </c>
      <c r="H15" s="36">
        <f>E15*Weights!$B$49+F15*Weights!$B$50+G15*Weights!$B$51</f>
        <v/>
      </c>
      <c r="I15" s="36">
        <f>Equipment!K15</f>
        <v/>
      </c>
      <c r="J15" s="43">
        <f>Equipment!H15</f>
        <v/>
      </c>
      <c r="K15" s="36">
        <f>H15+I15+J15*Weights!$B$45</f>
        <v/>
      </c>
      <c r="L15" s="43">
        <f>VLOOKUP(C15,Weights!$A$4:$B$8,2,FALSE())</f>
        <v/>
      </c>
      <c r="M15" s="36">
        <f>K15-L15</f>
        <v/>
      </c>
    </row>
    <row r="16">
      <c r="A16" s="40">
        <f>Equipment!B16</f>
        <v/>
      </c>
      <c r="B16" s="43">
        <f>Equipment!C16</f>
        <v/>
      </c>
      <c r="C16" s="42" t="inlineStr">
        <is>
          <t>Legend</t>
        </is>
      </c>
      <c r="D16" s="36">
        <f>IF(Equipment!I16=0,1,(VLOOKUP(C16,Weights!$A$4:$B$8,2,FALSE())-Equipment!K16-Equipment!H16*Weights!$B$45)/Equipment!I16)</f>
        <v/>
      </c>
      <c r="E16" s="43">
        <f>ROUND(Equipment!E16*D16,0)</f>
        <v/>
      </c>
      <c r="F16" s="43">
        <f>ROUND(Equipment!F16*D16,0)</f>
        <v/>
      </c>
      <c r="G16" s="43">
        <f>ROUND(Equipment!G16*D16,0)</f>
        <v/>
      </c>
      <c r="H16" s="36">
        <f>E16*Weights!$B$49+F16*Weights!$B$50+G16*Weights!$B$51</f>
        <v/>
      </c>
      <c r="I16" s="36">
        <f>Equipment!K16</f>
        <v/>
      </c>
      <c r="J16" s="43">
        <f>Equipment!H16</f>
        <v/>
      </c>
      <c r="K16" s="36">
        <f>H16+I16+J16*Weights!$B$45</f>
        <v/>
      </c>
      <c r="L16" s="43">
        <f>VLOOKUP(C16,Weights!$A$4:$B$8,2,FALSE())</f>
        <v/>
      </c>
      <c r="M16" s="36">
        <f>K16-L16</f>
        <v/>
      </c>
    </row>
    <row r="17">
      <c r="A17" s="40">
        <f>Equipment!B17</f>
        <v/>
      </c>
      <c r="B17" s="43">
        <f>Equipment!C17</f>
        <v/>
      </c>
      <c r="C17" s="42" t="inlineStr">
        <is>
          <t>Legend</t>
        </is>
      </c>
      <c r="D17" s="36">
        <f>IF(Equipment!I17=0,1,(VLOOKUP(C17,Weights!$A$4:$B$8,2,FALSE())-Equipment!K17-Equipment!H17*Weights!$B$45)/Equipment!I17)</f>
        <v/>
      </c>
      <c r="E17" s="43">
        <f>ROUND(Equipment!E17*D17,0)</f>
        <v/>
      </c>
      <c r="F17" s="43">
        <f>ROUND(Equipment!F17*D17,0)</f>
        <v/>
      </c>
      <c r="G17" s="43">
        <f>ROUND(Equipment!G17*D17,0)</f>
        <v/>
      </c>
      <c r="H17" s="36">
        <f>E17*Weights!$B$49+F17*Weights!$B$50+G17*Weights!$B$51</f>
        <v/>
      </c>
      <c r="I17" s="36">
        <f>Equipment!K17</f>
        <v/>
      </c>
      <c r="J17" s="43">
        <f>Equipment!H17</f>
        <v/>
      </c>
      <c r="K17" s="36">
        <f>H17+I17+J17*Weights!$B$45</f>
        <v/>
      </c>
      <c r="L17" s="43">
        <f>VLOOKUP(C17,Weights!$A$4:$B$8,2,FALSE())</f>
        <v/>
      </c>
      <c r="M17" s="36">
        <f>K17-L17</f>
        <v/>
      </c>
    </row>
    <row r="18">
      <c r="A18" s="40">
        <f>Equipment!B18</f>
        <v/>
      </c>
      <c r="B18" s="43">
        <f>Equipment!C18</f>
        <v/>
      </c>
      <c r="C18" s="42" t="inlineStr">
        <is>
          <t>Mythic</t>
        </is>
      </c>
      <c r="D18" s="36">
        <f>IF(Equipment!I18=0,1,(VLOOKUP(C18,Weights!$A$4:$B$8,2,FALSE())-Equipment!K18-Equipment!H18*Weights!$B$45)/Equipment!I18)</f>
        <v/>
      </c>
      <c r="E18" s="43">
        <f>ROUND(Equipment!E18*D18,0)</f>
        <v/>
      </c>
      <c r="F18" s="43">
        <f>ROUND(Equipment!F18*D18,0)</f>
        <v/>
      </c>
      <c r="G18" s="43">
        <f>ROUND(Equipment!G18*D18,0)</f>
        <v/>
      </c>
      <c r="H18" s="36">
        <f>E18*Weights!$B$49+F18*Weights!$B$50+G18*Weights!$B$51</f>
        <v/>
      </c>
      <c r="I18" s="36">
        <f>Equipment!K18</f>
        <v/>
      </c>
      <c r="J18" s="43">
        <f>Equipment!H18</f>
        <v/>
      </c>
      <c r="K18" s="36">
        <f>H18+I18+J18*Weights!$B$45</f>
        <v/>
      </c>
      <c r="L18" s="43">
        <f>VLOOKUP(C18,Weights!$A$4:$B$8,2,FALSE())</f>
        <v/>
      </c>
      <c r="M18" s="36">
        <f>K18-L18</f>
        <v/>
      </c>
    </row>
    <row r="19">
      <c r="A19" s="40">
        <f>Equipment!B19</f>
        <v/>
      </c>
      <c r="B19" s="43">
        <f>Equipment!C19</f>
        <v/>
      </c>
      <c r="C19" s="42" t="inlineStr">
        <is>
          <t>Mythic</t>
        </is>
      </c>
      <c r="D19" s="36">
        <f>IF(Equipment!I19=0,1,(VLOOKUP(C19,Weights!$A$4:$B$8,2,FALSE())-Equipment!K19-Equipment!H19*Weights!$B$45)/Equipment!I19)</f>
        <v/>
      </c>
      <c r="E19" s="43">
        <f>ROUND(Equipment!E19*D19,0)</f>
        <v/>
      </c>
      <c r="F19" s="43">
        <f>ROUND(Equipment!F19*D19,0)</f>
        <v/>
      </c>
      <c r="G19" s="43">
        <f>ROUND(Equipment!G19*D19,0)</f>
        <v/>
      </c>
      <c r="H19" s="36">
        <f>E19*Weights!$B$49+F19*Weights!$B$50+G19*Weights!$B$51</f>
        <v/>
      </c>
      <c r="I19" s="36">
        <f>Equipment!K19</f>
        <v/>
      </c>
      <c r="J19" s="43">
        <f>Equipment!H19</f>
        <v/>
      </c>
      <c r="K19" s="36">
        <f>H19+I19+J19*Weights!$B$45</f>
        <v/>
      </c>
      <c r="L19" s="43">
        <f>VLOOKUP(C19,Weights!$A$4:$B$8,2,FALSE())</f>
        <v/>
      </c>
      <c r="M19" s="36">
        <f>K19-L19</f>
        <v/>
      </c>
    </row>
    <row r="20">
      <c r="A20" s="40">
        <f>Equipment!B20</f>
        <v/>
      </c>
      <c r="B20" s="43">
        <f>Equipment!C20</f>
        <v/>
      </c>
      <c r="C20" s="42" t="inlineStr">
        <is>
          <t>Mythic</t>
        </is>
      </c>
      <c r="D20" s="36">
        <f>IF(Equipment!I20=0,1,(VLOOKUP(C20,Weights!$A$4:$B$8,2,FALSE())-Equipment!K20-Equipment!H20*Weights!$B$45)/Equipment!I20)</f>
        <v/>
      </c>
      <c r="E20" s="43">
        <f>ROUND(Equipment!E20*D20,0)</f>
        <v/>
      </c>
      <c r="F20" s="43">
        <f>ROUND(Equipment!F20*D20,0)</f>
        <v/>
      </c>
      <c r="G20" s="43">
        <f>ROUND(Equipment!G20*D20,0)</f>
        <v/>
      </c>
      <c r="H20" s="36">
        <f>E20*Weights!$B$49+F20*Weights!$B$50+G20*Weights!$B$51</f>
        <v/>
      </c>
      <c r="I20" s="36">
        <f>Equipment!K20</f>
        <v/>
      </c>
      <c r="J20" s="43">
        <f>Equipment!H20</f>
        <v/>
      </c>
      <c r="K20" s="36">
        <f>H20+I20+J20*Weights!$B$45</f>
        <v/>
      </c>
      <c r="L20" s="43">
        <f>VLOOKUP(C20,Weights!$A$4:$B$8,2,FALSE())</f>
        <v/>
      </c>
      <c r="M20" s="36">
        <f>K20-L20</f>
        <v/>
      </c>
    </row>
    <row r="21" ht="15.75" customHeight="1" s="50">
      <c r="A21" s="40">
        <f>Equipment!B21</f>
        <v/>
      </c>
      <c r="B21" s="43">
        <f>Equipment!C21</f>
        <v/>
      </c>
      <c r="C21" s="42" t="inlineStr">
        <is>
          <t>Mythic</t>
        </is>
      </c>
      <c r="D21" s="36">
        <f>IF(Equipment!I21=0,1,(VLOOKUP(C21,Weights!$A$4:$B$8,2,FALSE())-Equipment!K21-Equipment!H21*Weights!$B$45)/Equipment!I21)</f>
        <v/>
      </c>
      <c r="E21" s="43">
        <f>ROUND(Equipment!E21*D21,0)</f>
        <v/>
      </c>
      <c r="F21" s="43">
        <f>ROUND(Equipment!F21*D21,0)</f>
        <v/>
      </c>
      <c r="G21" s="43">
        <f>ROUND(Equipment!G21*D21,0)</f>
        <v/>
      </c>
      <c r="H21" s="36">
        <f>E21*Weights!$B$49+F21*Weights!$B$50+G21*Weights!$B$51</f>
        <v/>
      </c>
      <c r="I21" s="36">
        <f>Equipment!K21</f>
        <v/>
      </c>
      <c r="J21" s="43">
        <f>Equipment!H21</f>
        <v/>
      </c>
      <c r="K21" s="36">
        <f>H21+I21+J21*Weights!$B$45</f>
        <v/>
      </c>
      <c r="L21" s="43">
        <f>VLOOKUP(C21,Weights!$A$4:$B$8,2,FALSE())</f>
        <v/>
      </c>
      <c r="M21" s="36">
        <f>K21-L21</f>
        <v/>
      </c>
    </row>
    <row r="22" ht="15.75" customHeight="1" s="50">
      <c r="A22" s="40">
        <f>Equipment!B22</f>
        <v/>
      </c>
      <c r="B22" s="43">
        <f>Equipment!C22</f>
        <v/>
      </c>
      <c r="C22" s="42" t="inlineStr">
        <is>
          <t>Mythic</t>
        </is>
      </c>
      <c r="D22" s="36">
        <f>IF(Equipment!I22=0,1,(VLOOKUP(C22,Weights!$A$4:$B$8,2,FALSE())-Equipment!K22-Equipment!H22*Weights!$B$45)/Equipment!I22)</f>
        <v/>
      </c>
      <c r="E22" s="43">
        <f>ROUND(Equipment!E22*D22,0)</f>
        <v/>
      </c>
      <c r="F22" s="43">
        <f>ROUND(Equipment!F22*D22,0)</f>
        <v/>
      </c>
      <c r="G22" s="43">
        <f>ROUND(Equipment!G22*D22,0)</f>
        <v/>
      </c>
      <c r="H22" s="36">
        <f>E22*Weights!$B$49+F22*Weights!$B$50+G22*Weights!$B$51</f>
        <v/>
      </c>
      <c r="I22" s="36">
        <f>Equipment!K22</f>
        <v/>
      </c>
      <c r="J22" s="43">
        <f>Equipment!H22</f>
        <v/>
      </c>
      <c r="K22" s="36">
        <f>H22+I22+J22*Weights!$B$45</f>
        <v/>
      </c>
      <c r="L22" s="43">
        <f>VLOOKUP(C22,Weights!$A$4:$B$8,2,FALSE())</f>
        <v/>
      </c>
      <c r="M22" s="36">
        <f>K22-L22</f>
        <v/>
      </c>
    </row>
    <row r="23" ht="15.75" customHeight="1" s="50">
      <c r="A23" s="40">
        <f>Equipment!B23</f>
        <v/>
      </c>
      <c r="B23" s="43">
        <f>Equipment!C23</f>
        <v/>
      </c>
      <c r="C23" s="42" t="inlineStr">
        <is>
          <t>Mythic</t>
        </is>
      </c>
      <c r="D23" s="36">
        <f>IF(Equipment!I23=0,1,(VLOOKUP(C23,Weights!$A$4:$B$8,2,FALSE())-Equipment!K23-Equipment!H23*Weights!$B$45)/Equipment!I23)</f>
        <v/>
      </c>
      <c r="E23" s="43">
        <f>ROUND(Equipment!E23*D23,0)</f>
        <v/>
      </c>
      <c r="F23" s="43">
        <f>ROUND(Equipment!F23*D23,0)</f>
        <v/>
      </c>
      <c r="G23" s="43">
        <f>ROUND(Equipment!G23*D23,0)</f>
        <v/>
      </c>
      <c r="H23" s="36">
        <f>E23*Weights!$B$49+F23*Weights!$B$50+G23*Weights!$B$51</f>
        <v/>
      </c>
      <c r="I23" s="36">
        <f>Equipment!K23</f>
        <v/>
      </c>
      <c r="J23" s="43">
        <f>Equipment!H23</f>
        <v/>
      </c>
      <c r="K23" s="36">
        <f>H23+I23+J23*Weights!$B$45</f>
        <v/>
      </c>
      <c r="L23" s="43">
        <f>VLOOKUP(C23,Weights!$A$4:$B$8,2,FALSE())</f>
        <v/>
      </c>
      <c r="M23" s="36">
        <f>K23-L23</f>
        <v/>
      </c>
    </row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dataValidations count="1">
    <dataValidation sqref="C2:C23" showDropDown="0" showInputMessage="0" showErrorMessage="0" allowBlank="1" type="list">
      <formula1>"Common,Rare,Epic,Legend,Mythic"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2026-08-15T07:12:47Z</dcterms:created>
  <dcterms:modified xsi:type="dcterms:W3CDTF">2026-08-19T17:42:12Z</dcterms:modified>
</cp:coreProperties>
</file>